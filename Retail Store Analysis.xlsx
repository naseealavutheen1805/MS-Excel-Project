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Excel course\JOBAAJ\Case Study\"/>
    </mc:Choice>
  </mc:AlternateContent>
  <xr:revisionPtr revIDLastSave="0" documentId="13_ncr:1_{85C33156-1B5A-4F3A-8E53-520D1E1EA455}" xr6:coauthVersionLast="47" xr6:coauthVersionMax="47" xr10:uidLastSave="{00000000-0000-0000-0000-000000000000}"/>
  <bookViews>
    <workbookView xWindow="-108" yWindow="-108" windowWidth="23256" windowHeight="12456" activeTab="1" xr2:uid="{0D6024A5-E941-4C66-9440-94FC24DE1A7C}"/>
  </bookViews>
  <sheets>
    <sheet name="RetailStore" sheetId="2" r:id="rId1"/>
    <sheet name="Pivot_Table" sheetId="3" r:id="rId2"/>
  </sheets>
  <definedNames>
    <definedName name="ExternalData_1" localSheetId="0" hidden="1">'RetailStore'!$A$1:$K$2001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P11" i="2"/>
  <c r="P9" i="2"/>
  <c r="P10" i="2"/>
  <c r="P8" i="2"/>
  <c r="P7" i="2"/>
  <c r="C16" i="3"/>
  <c r="C15" i="3"/>
  <c r="C14" i="3"/>
  <c r="C13" i="3"/>
  <c r="C12" i="3"/>
  <c r="C11" i="3"/>
  <c r="C10" i="3"/>
  <c r="C9" i="3"/>
  <c r="C8" i="3"/>
  <c r="C7" i="3"/>
  <c r="C6" i="3"/>
  <c r="P1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E151D-21E3-4AF4-9E20-664B7BC0ACED}" keepAlive="1" name="Query - RetailStore" description="Connection to the 'RetailStore' query in the workbook." type="5" refreshedVersion="8" background="1" saveData="1">
    <dbPr connection="Provider=Microsoft.Mashup.OleDb.1;Data Source=$Workbook$;Location=RetailStore;Extended Properties=&quot;&quot;" command="SELECT * FROM [RetailStore]"/>
  </connection>
</connections>
</file>

<file path=xl/sharedStrings.xml><?xml version="1.0" encoding="utf-8"?>
<sst xmlns="http://schemas.openxmlformats.org/spreadsheetml/2006/main" count="6107" uniqueCount="2052">
  <si>
    <t>Transaction ID</t>
  </si>
  <si>
    <t>Date</t>
  </si>
  <si>
    <t>Year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</si>
  <si>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</si>
  <si>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</si>
  <si>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</si>
  <si>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</si>
  <si>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</si>
  <si>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</si>
  <si>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</si>
  <si>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CUST0001</t>
  </si>
  <si>
    <t>Male</t>
  </si>
  <si>
    <t>Electronics</t>
  </si>
  <si>
    <t>CUST0002</t>
  </si>
  <si>
    <t>CUST0003</t>
  </si>
  <si>
    <t>Beauty</t>
  </si>
  <si>
    <t>CUST0004</t>
  </si>
  <si>
    <t>CUST0005</t>
  </si>
  <si>
    <t>Female</t>
  </si>
  <si>
    <t>CUST0006</t>
  </si>
  <si>
    <t>Clothing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</si>
  <si>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</si>
  <si>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</si>
  <si>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</si>
  <si>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</si>
  <si>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</si>
  <si>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</si>
  <si>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</si>
  <si>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</si>
  <si>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</si>
  <si>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</si>
  <si>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</si>
  <si>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</si>
  <si>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</si>
  <si>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</si>
  <si>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</si>
  <si>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</si>
  <si>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</si>
  <si>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</si>
  <si>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</si>
  <si>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</si>
  <si>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</si>
  <si>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</si>
  <si>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</si>
  <si>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</si>
  <si>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</si>
  <si>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</si>
  <si>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</si>
  <si>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</si>
  <si>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</si>
  <si>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</si>
  <si>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</si>
  <si>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</si>
  <si>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</si>
  <si>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</si>
  <si>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</si>
  <si>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</si>
  <si>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</si>
  <si>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</si>
  <si>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</si>
  <si>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</si>
  <si>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</si>
  <si>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</si>
  <si>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</si>
  <si>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</si>
  <si>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</si>
  <si>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</si>
  <si>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</si>
  <si>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</si>
  <si>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</si>
  <si>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</si>
  <si>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</si>
  <si>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</si>
  <si>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</si>
  <si>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</si>
  <si>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</si>
  <si>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</si>
  <si>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</si>
  <si>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</si>
  <si>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</si>
  <si>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</si>
  <si>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</si>
  <si>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</si>
  <si>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</si>
  <si>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</si>
  <si>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</si>
  <si>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</si>
  <si>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</si>
  <si>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</si>
  <si>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</si>
  <si>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</si>
  <si>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</si>
  <si>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</si>
  <si>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</si>
  <si>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</si>
  <si>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</si>
  <si>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</si>
  <si>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</si>
  <si>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</si>
  <si>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</si>
  <si>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</si>
  <si>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</si>
  <si>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</si>
  <si>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</si>
  <si>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</si>
  <si>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</si>
  <si>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</si>
  <si>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</si>
  <si>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</si>
  <si>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</si>
  <si>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</si>
  <si>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</si>
  <si>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</si>
  <si>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</si>
  <si>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</si>
  <si>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</si>
  <si>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</si>
  <si>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</si>
  <si>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</si>
  <si>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</si>
  <si>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</si>
  <si>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</si>
  <si>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</si>
  <si>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</si>
  <si>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</si>
  <si>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</si>
  <si>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</si>
  <si>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</si>
  <si>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</si>
  <si>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</si>
  <si>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</si>
  <si>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</si>
  <si>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</si>
  <si>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</si>
  <si>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</si>
  <si>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</si>
  <si>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</si>
  <si>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</si>
  <si>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</si>
  <si>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</si>
  <si>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</si>
  <si>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</si>
  <si>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</si>
  <si>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</si>
  <si>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</si>
  <si>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</si>
  <si>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</si>
  <si>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</si>
  <si>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</si>
  <si>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</si>
  <si>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</si>
  <si>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</si>
  <si>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</si>
  <si>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</si>
  <si>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</si>
  <si>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</si>
  <si>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</si>
  <si>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</si>
  <si>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</si>
  <si>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</si>
  <si>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</si>
  <si>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</si>
  <si>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</si>
  <si>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</si>
  <si>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</si>
  <si>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</si>
  <si>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</si>
  <si>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</si>
  <si>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</si>
  <si>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</si>
  <si>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</si>
  <si>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</si>
  <si>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</si>
  <si>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</si>
  <si>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</si>
  <si>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</si>
  <si>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</si>
  <si>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</si>
  <si>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</si>
  <si>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</si>
  <si>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</si>
  <si>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</si>
  <si>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</si>
  <si>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</si>
  <si>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</si>
  <si>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</si>
  <si>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</si>
  <si>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</si>
  <si>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</si>
  <si>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</si>
  <si>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</si>
  <si>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</si>
  <si>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</si>
  <si>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</si>
  <si>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</si>
  <si>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</si>
  <si>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</si>
  <si>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</si>
  <si>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</si>
  <si>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</si>
  <si>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</si>
  <si>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</si>
  <si>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</si>
  <si>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</si>
  <si>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</si>
  <si>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</si>
  <si>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</si>
  <si>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</si>
  <si>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</si>
  <si>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</si>
  <si>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</si>
  <si>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</si>
  <si>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</si>
  <si>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</si>
  <si>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</si>
  <si>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</si>
  <si>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</si>
  <si>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</si>
  <si>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</si>
  <si>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</si>
  <si>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</si>
  <si>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</si>
  <si>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</si>
  <si>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</si>
  <si>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</si>
  <si>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</si>
  <si>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</si>
  <si>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</si>
  <si>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</si>
  <si>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</si>
  <si>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</si>
  <si>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</si>
  <si>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</si>
  <si>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</si>
  <si>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</si>
  <si>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</si>
  <si>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</si>
  <si>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</si>
  <si>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</si>
  <si>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</si>
  <si>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</si>
  <si>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</si>
  <si>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</si>
  <si>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</si>
  <si>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</si>
  <si>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</si>
  <si>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</si>
  <si>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</si>
  <si>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</si>
  <si>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</si>
  <si>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</si>
  <si>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</si>
  <si>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</si>
  <si>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</si>
  <si>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</si>
  <si>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</si>
  <si>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</si>
  <si>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</si>
  <si>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</si>
  <si>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</si>
  <si>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</si>
  <si>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</si>
  <si>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</si>
  <si>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</si>
  <si>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</si>
  <si>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</si>
  <si>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</si>
  <si>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</si>
  <si>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</si>
  <si>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</si>
  <si>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</si>
  <si>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</si>
  <si>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</si>
  <si>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</si>
  <si>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</si>
  <si>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</si>
  <si>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</si>
  <si>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</si>
  <si>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</si>
  <si>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</si>
  <si>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</si>
  <si>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</si>
  <si>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</si>
  <si>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</si>
  <si>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</si>
  <si>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</si>
  <si>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</si>
  <si>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</si>
  <si>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</si>
  <si>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</si>
  <si>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</si>
  <si>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</si>
  <si>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</si>
  <si>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</si>
  <si>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</si>
  <si>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</si>
  <si>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</si>
  <si>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</si>
  <si>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</si>
  <si>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</si>
  <si>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</si>
  <si>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</si>
  <si>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</si>
  <si>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</si>
  <si>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</si>
  <si>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</si>
  <si>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</si>
  <si>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</si>
  <si>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</si>
  <si>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</si>
  <si>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</si>
  <si>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</si>
  <si>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</si>
  <si>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</si>
  <si>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</si>
  <si>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</si>
  <si>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</si>
  <si>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</si>
  <si>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</si>
  <si>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</si>
  <si>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</si>
  <si>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</si>
  <si>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</si>
  <si>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</si>
  <si>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</si>
  <si>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</si>
  <si>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</si>
  <si>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</si>
  <si>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</si>
  <si>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</si>
  <si>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</si>
  <si>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</si>
  <si>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</si>
  <si>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</si>
  <si>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</si>
  <si>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</si>
  <si>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</si>
  <si>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</si>
  <si>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</si>
  <si>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</si>
  <si>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</si>
  <si>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</si>
  <si>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</si>
  <si>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</si>
  <si>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</si>
  <si>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</si>
  <si>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</si>
  <si>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</si>
  <si>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</si>
  <si>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</si>
  <si>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</si>
  <si>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</si>
  <si>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</si>
  <si>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</si>
  <si>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</si>
  <si>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</si>
  <si>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</si>
  <si>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</si>
  <si>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</si>
  <si>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</si>
  <si>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</si>
  <si>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</si>
  <si>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</si>
  <si>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</si>
  <si>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</si>
  <si>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</si>
  <si>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</si>
  <si>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</si>
  <si>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</si>
  <si>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</si>
  <si>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</si>
  <si>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</si>
  <si>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</si>
  <si>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</si>
  <si>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</si>
  <si>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</si>
  <si>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</si>
  <si>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</si>
  <si>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</si>
  <si>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</si>
  <si>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</si>
  <si>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</si>
  <si>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</si>
  <si>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</si>
  <si>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</si>
  <si>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</si>
  <si>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</si>
  <si>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</si>
  <si>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</si>
  <si>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</si>
  <si>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</si>
  <si>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</si>
  <si>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</si>
  <si>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</si>
  <si>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</si>
  <si>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</si>
  <si>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</si>
  <si>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</si>
  <si>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</si>
  <si>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</si>
  <si>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</si>
  <si>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</si>
  <si>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</si>
  <si>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</si>
  <si>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</si>
  <si>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</si>
  <si>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</si>
  <si>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</si>
  <si>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</si>
  <si>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</si>
  <si>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</si>
  <si>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</si>
  <si>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</si>
  <si>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</si>
  <si>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</si>
  <si>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</si>
  <si>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</si>
  <si>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</si>
  <si>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</si>
  <si>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</si>
  <si>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</si>
  <si>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</si>
  <si>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</si>
  <si>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</si>
  <si>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</si>
  <si>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</si>
  <si>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</si>
  <si>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</si>
  <si>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</si>
  <si>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</si>
  <si>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</si>
  <si>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</si>
  <si>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</si>
  <si>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</si>
  <si>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</si>
  <si>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</si>
  <si>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</si>
  <si>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</si>
  <si>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</si>
  <si>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</si>
  <si>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</si>
  <si>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</si>
  <si>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</si>
  <si>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</si>
  <si>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</si>
  <si>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</si>
  <si>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</si>
  <si>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</si>
  <si>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</si>
  <si>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</si>
  <si>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</si>
  <si>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</si>
  <si>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</si>
  <si>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</si>
  <si>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</si>
  <si>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</si>
  <si>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</si>
  <si>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</si>
  <si>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</si>
  <si>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</si>
  <si>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</si>
  <si>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</si>
  <si>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</si>
  <si>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</si>
  <si>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</si>
  <si>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</si>
  <si>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</si>
  <si>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</si>
  <si>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</si>
  <si>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</si>
  <si>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</si>
  <si>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</si>
  <si>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</si>
  <si>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</si>
  <si>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</si>
  <si>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</si>
  <si>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</si>
  <si>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</si>
  <si>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</si>
  <si>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</si>
  <si>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</si>
  <si>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</si>
  <si>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</si>
  <si>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</si>
  <si>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</si>
  <si>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</si>
  <si>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</si>
  <si>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</si>
  <si>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</si>
  <si>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</si>
  <si>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</si>
  <si>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</si>
  <si>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</si>
  <si>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</si>
  <si>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</si>
  <si>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</si>
  <si>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</si>
  <si>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</si>
  <si>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</si>
  <si>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</si>
  <si>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</si>
  <si>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</si>
  <si>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</si>
  <si>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</si>
  <si>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</si>
  <si>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</si>
  <si>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</si>
  <si>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</si>
  <si>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</si>
  <si>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</si>
  <si>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</si>
  <si>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</si>
  <si>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</si>
  <si>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</si>
  <si>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</si>
  <si>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</si>
  <si>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</si>
  <si>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</si>
  <si>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</si>
  <si>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</si>
  <si>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</si>
  <si>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</si>
  <si>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</si>
  <si>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</si>
  <si>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</si>
  <si>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</si>
  <si>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</si>
  <si>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</si>
  <si>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</si>
  <si>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</si>
  <si>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</si>
  <si>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</si>
  <si>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</si>
  <si>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</si>
  <si>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</si>
  <si>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</si>
  <si>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</si>
  <si>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</si>
  <si>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</si>
  <si>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</si>
  <si>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</si>
  <si>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</si>
  <si>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</si>
  <si>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</si>
  <si>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</si>
  <si>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</si>
  <si>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</si>
  <si>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</si>
  <si>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</si>
  <si>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</si>
  <si>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</si>
  <si>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</si>
  <si>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</si>
  <si>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</si>
  <si>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</si>
  <si>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</si>
  <si>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</si>
  <si>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</si>
  <si>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</si>
  <si>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</si>
  <si>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</si>
  <si>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</si>
  <si>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</si>
  <si>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</si>
  <si>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</si>
  <si>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</si>
  <si>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</si>
  <si>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</si>
  <si>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</si>
  <si>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</si>
  <si>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</si>
  <si>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</si>
  <si>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</si>
  <si>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</si>
  <si>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</si>
  <si>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</si>
  <si>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</si>
  <si>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</si>
  <si>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</si>
  <si>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</si>
  <si>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</si>
  <si>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</si>
  <si>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</si>
  <si>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</si>
  <si>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</si>
  <si>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</si>
  <si>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</si>
  <si>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</si>
  <si>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</si>
  <si>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</si>
  <si>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</si>
  <si>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</si>
  <si>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</si>
  <si>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</si>
  <si>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</si>
  <si>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</si>
  <si>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</si>
  <si>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</si>
  <si>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</si>
  <si>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</si>
  <si>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</si>
  <si>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</si>
  <si>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</si>
  <si>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</si>
  <si>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</si>
  <si>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</si>
  <si>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</si>
  <si>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</si>
  <si>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</si>
  <si>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</si>
  <si>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</si>
  <si>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</si>
  <si>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</si>
  <si>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</si>
  <si>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</si>
  <si>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</si>
  <si>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</si>
  <si>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</si>
  <si>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</si>
  <si>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</si>
  <si>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</si>
  <si>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</si>
  <si>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</si>
  <si>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</si>
  <si>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</si>
  <si>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</si>
  <si>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</si>
  <si>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</si>
  <si>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</si>
  <si>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</si>
  <si>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</si>
  <si>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</si>
  <si>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</si>
  <si>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</si>
  <si>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</si>
  <si>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</si>
  <si>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</si>
  <si>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</si>
  <si>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</si>
  <si>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</si>
  <si>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</si>
  <si>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</si>
  <si>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</si>
  <si>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</si>
  <si>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</si>
  <si>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</si>
  <si>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</si>
  <si>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</si>
  <si>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</si>
  <si>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</si>
  <si>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</si>
  <si>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</si>
  <si>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</si>
  <si>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</si>
  <si>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</si>
  <si>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</si>
  <si>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</si>
  <si>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</si>
  <si>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</si>
  <si>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</si>
  <si>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</si>
  <si>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</si>
  <si>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</si>
  <si>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</si>
  <si>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</si>
  <si>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</si>
  <si>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</si>
  <si>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</si>
  <si>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</si>
  <si>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</si>
  <si>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</si>
  <si>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</si>
  <si>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</si>
  <si>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</si>
  <si>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</si>
  <si>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</si>
  <si>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</si>
  <si>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</si>
  <si>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</si>
  <si>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</si>
  <si>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</si>
  <si>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</si>
  <si>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</si>
  <si>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</si>
  <si>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</si>
  <si>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</si>
  <si>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</si>
  <si>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</si>
  <si>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</si>
  <si>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</si>
  <si>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</si>
  <si>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</si>
  <si>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</si>
  <si>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</si>
  <si>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</si>
  <si>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</si>
  <si>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</si>
  <si>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</si>
  <si>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</si>
  <si>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</si>
  <si>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</si>
  <si>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</si>
  <si>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</si>
  <si>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</si>
  <si>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</si>
  <si>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</si>
  <si>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</si>
  <si>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</si>
  <si>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</si>
  <si>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</si>
  <si>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</si>
  <si>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</si>
  <si>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</si>
  <si>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</si>
  <si>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</si>
  <si>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</si>
  <si>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</si>
  <si>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</si>
  <si>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</si>
  <si>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</si>
  <si>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</si>
  <si>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</si>
  <si>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</si>
  <si>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</si>
  <si>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</si>
  <si>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</si>
  <si>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</si>
  <si>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</si>
  <si>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</si>
  <si>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</si>
  <si>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</si>
  <si>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</si>
  <si>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</si>
  <si>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</si>
  <si>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</si>
  <si>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</si>
  <si>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</si>
  <si>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</si>
  <si>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</si>
  <si>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</si>
  <si>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</si>
  <si>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</si>
  <si>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</si>
  <si>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</si>
  <si>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</si>
  <si>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</si>
  <si>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</si>
  <si>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</si>
  <si>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</si>
  <si>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</si>
  <si>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</si>
  <si>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</si>
  <si>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</si>
  <si>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</si>
  <si>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</si>
  <si>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</si>
  <si>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</si>
  <si>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</si>
  <si>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</si>
  <si>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</si>
  <si>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</si>
  <si>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</si>
  <si>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</si>
  <si>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</si>
  <si>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</si>
  <si>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</si>
  <si>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</si>
  <si>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</si>
  <si>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</si>
  <si>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</si>
  <si>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</si>
  <si>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</si>
  <si>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</si>
  <si>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</si>
  <si>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</si>
  <si>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</si>
  <si>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</si>
  <si>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</si>
  <si>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</si>
  <si>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</si>
  <si>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</si>
  <si>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</si>
  <si>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</si>
  <si>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</si>
  <si>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</si>
  <si>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</si>
  <si>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</si>
  <si>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</si>
  <si>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</si>
  <si>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</si>
  <si>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</si>
  <si>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</si>
  <si>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</si>
  <si>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</si>
  <si>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</si>
  <si>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</si>
  <si>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</si>
  <si>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</si>
  <si>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</si>
  <si>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</si>
  <si>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</si>
  <si>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</si>
  <si>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</si>
  <si>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</si>
  <si>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</si>
  <si>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</si>
  <si>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</si>
  <si>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</si>
  <si>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</si>
  <si>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</si>
  <si>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</si>
  <si>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</si>
  <si>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</si>
  <si>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</si>
  <si>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</si>
  <si>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</si>
  <si>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</si>
  <si>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</si>
  <si>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</si>
  <si>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</si>
  <si>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</si>
  <si>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</si>
  <si>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</si>
  <si>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</si>
  <si>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</si>
  <si>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</si>
  <si>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</si>
  <si>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</si>
  <si>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</si>
  <si>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</si>
  <si>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</si>
  <si>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</si>
  <si>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</si>
  <si>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</si>
  <si>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</si>
  <si>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</si>
  <si>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</si>
  <si>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</si>
  <si>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</si>
  <si>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</si>
  <si>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</si>
  <si>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</si>
  <si>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</si>
  <si>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</si>
  <si>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</si>
  <si>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</si>
  <si>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</si>
  <si>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</si>
  <si>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</si>
  <si>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</si>
  <si>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</si>
  <si>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</si>
  <si>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</si>
  <si>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</si>
  <si>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</si>
  <si>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</si>
  <si>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</si>
  <si>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</si>
  <si>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</si>
  <si>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</si>
  <si>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</si>
  <si>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</si>
  <si>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</si>
  <si>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</si>
  <si>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</si>
  <si>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</si>
  <si>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</si>
  <si>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</si>
  <si>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</si>
  <si>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</si>
  <si>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</si>
  <si>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</si>
  <si>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</si>
  <si>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</si>
  <si>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</si>
  <si>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</si>
  <si>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</si>
  <si>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</si>
  <si>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</si>
  <si>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</si>
  <si>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</si>
  <si>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</si>
  <si>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</si>
  <si>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</si>
  <si>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</si>
  <si>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</si>
  <si>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</si>
  <si>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</si>
  <si>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</si>
  <si>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</si>
  <si>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</si>
  <si>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</si>
  <si>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</si>
  <si>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</si>
  <si>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</si>
  <si>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</si>
  <si>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</si>
  <si>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</si>
  <si>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</si>
  <si>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</si>
  <si>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</si>
  <si>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</si>
  <si>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</si>
  <si>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</si>
  <si>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</si>
  <si>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</si>
  <si>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</si>
  <si>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</si>
  <si>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</si>
  <si>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</si>
  <si>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</si>
  <si>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</si>
  <si>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</si>
  <si>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</si>
  <si>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</si>
  <si>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</si>
  <si>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</si>
  <si>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</si>
  <si>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</si>
  <si>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</si>
  <si>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</si>
  <si>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</si>
  <si>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</si>
  <si>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</si>
  <si>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</si>
  <si>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</si>
  <si>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</si>
  <si>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</si>
  <si>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</si>
  <si>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</si>
  <si>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</si>
  <si>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</si>
  <si>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</si>
  <si>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</si>
  <si>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</si>
  <si>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</si>
  <si>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</si>
  <si>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</si>
  <si>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</si>
  <si>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</si>
  <si>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</si>
  <si>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</si>
  <si>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</si>
  <si>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</si>
  <si>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</si>
  <si>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</si>
  <si>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</si>
  <si>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</si>
  <si>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</si>
  <si>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</si>
  <si>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</si>
  <si>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</si>
  <si>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</si>
  <si>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</si>
  <si>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</si>
  <si>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</si>
  <si>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</si>
  <si>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</si>
  <si>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</si>
  <si>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</si>
  <si>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</si>
  <si>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</si>
  <si>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</si>
  <si>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</si>
  <si>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</si>
  <si>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</si>
  <si>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</si>
  <si>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</si>
  <si>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</si>
  <si>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</si>
  <si>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</si>
  <si>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</si>
  <si>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</si>
  <si>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</si>
  <si>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</si>
  <si>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</si>
  <si>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</si>
  <si>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</si>
  <si>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</si>
  <si>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</si>
  <si>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</si>
  <si>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</si>
  <si>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</si>
  <si>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</si>
  <si>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</si>
  <si>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</si>
  <si>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</si>
  <si>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</si>
  <si>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</si>
  <si>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</si>
  <si>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</si>
  <si>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</si>
  <si>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</si>
  <si>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</si>
  <si>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</si>
  <si>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</si>
  <si>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</si>
  <si>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</si>
  <si>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</si>
  <si>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</si>
  <si>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</si>
  <si>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</si>
  <si>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</si>
  <si>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</si>
  <si>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</si>
  <si>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</si>
  <si>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</si>
  <si>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</si>
  <si>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</si>
  <si>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</si>
  <si>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</si>
  <si>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</si>
  <si>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</si>
  <si>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</si>
  <si>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</si>
  <si>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</si>
  <si>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</si>
  <si>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</si>
  <si>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</si>
  <si>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</si>
  <si>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</si>
  <si>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</si>
  <si>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</si>
  <si>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</si>
  <si>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</si>
  <si>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</si>
  <si>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</si>
  <si>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</si>
  <si>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</si>
  <si>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</si>
  <si>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</si>
  <si>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</si>
  <si>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</si>
  <si>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</si>
  <si>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</si>
  <si>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</si>
  <si>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</si>
  <si>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</si>
  <si>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</si>
  <si>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</si>
  <si>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</si>
  <si>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</si>
  <si>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</si>
  <si>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</si>
  <si>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</si>
  <si>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</si>
  <si>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</si>
  <si>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</si>
  <si>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</si>
  <si>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</si>
  <si>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</si>
  <si>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</si>
  <si>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</si>
  <si>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</si>
  <si>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</si>
  <si>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</si>
  <si>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</si>
  <si>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</si>
  <si>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</si>
  <si>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</si>
  <si>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</si>
  <si>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</si>
  <si>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</si>
  <si>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</si>
  <si>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</si>
  <si>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</si>
  <si>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</si>
  <si>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</si>
  <si>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</si>
  <si>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</si>
  <si>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</si>
  <si>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</si>
  <si>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</si>
  <si>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</si>
  <si>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</si>
  <si>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</si>
  <si>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</si>
  <si>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</si>
  <si>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</si>
  <si>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</si>
  <si>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</si>
  <si>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</si>
  <si>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</si>
  <si>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</si>
  <si>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</si>
  <si>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</si>
  <si>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</si>
  <si>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</si>
  <si>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</si>
  <si>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</si>
  <si>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</si>
  <si>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</si>
  <si>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</si>
  <si>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</si>
  <si>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</si>
  <si>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</si>
  <si>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</si>
  <si>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</si>
  <si>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</si>
  <si>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</si>
  <si>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</si>
  <si>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</si>
  <si>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</si>
  <si>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</si>
  <si>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</si>
  <si>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</si>
  <si>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</si>
  <si>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</si>
  <si>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</si>
  <si>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</si>
  <si>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</si>
  <si>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</si>
  <si>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</si>
  <si>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</si>
  <si>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</si>
  <si>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</si>
  <si>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</si>
  <si>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</si>
  <si>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</si>
  <si>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</si>
  <si>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</si>
  <si>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</si>
  <si>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</si>
  <si>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</si>
  <si>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</si>
  <si>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</si>
  <si>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</si>
  <si>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</si>
  <si>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</si>
  <si>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</si>
  <si>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</si>
  <si>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</si>
  <si>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</si>
  <si>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</si>
  <si>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</si>
  <si>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</si>
  <si>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</si>
  <si>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</si>
  <si>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</si>
  <si>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</si>
  <si>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</si>
  <si>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</si>
  <si>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</si>
  <si>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</si>
  <si>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</si>
  <si>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</si>
  <si>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</si>
  <si>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</si>
  <si>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</si>
  <si>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</si>
  <si>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</si>
  <si>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</si>
  <si>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</si>
  <si>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</si>
  <si>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</si>
  <si>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</si>
  <si>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</si>
  <si>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</si>
  <si>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</si>
  <si>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</si>
  <si>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</si>
  <si>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</si>
  <si>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</si>
  <si>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</si>
  <si>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</si>
  <si>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</si>
  <si>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</si>
  <si>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</si>
  <si>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</si>
  <si>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</si>
  <si>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</si>
  <si>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</si>
  <si>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</si>
  <si>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</si>
  <si>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</si>
  <si>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</si>
  <si>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</si>
  <si>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</si>
  <si>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</si>
  <si>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</si>
  <si>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</si>
  <si>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</si>
  <si>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</si>
  <si>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</si>
  <si>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</si>
  <si>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</si>
  <si>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</si>
  <si>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</si>
  <si>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</si>
  <si>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</si>
  <si>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</si>
  <si>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</si>
  <si>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</si>
  <si>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</si>
  <si>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</si>
  <si>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</si>
  <si>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</si>
  <si>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</si>
  <si>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</si>
  <si>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</si>
  <si>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</si>
  <si>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</si>
  <si>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</si>
  <si>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</si>
  <si>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</si>
  <si>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</si>
  <si>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</si>
  <si>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</si>
  <si>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</si>
  <si>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</si>
  <si>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</si>
  <si>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</si>
  <si>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</si>
  <si>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</si>
  <si>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</si>
  <si>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</si>
  <si>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</si>
  <si>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</si>
  <si>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</si>
  <si>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</si>
  <si>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</si>
  <si>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</si>
  <si>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</si>
  <si>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</si>
  <si>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</si>
  <si>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</si>
  <si>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</si>
  <si>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</si>
  <si>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</si>
  <si>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</si>
  <si>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</si>
  <si>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</si>
  <si>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</si>
  <si>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</si>
  <si>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</si>
  <si>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</si>
  <si>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</si>
  <si>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</si>
  <si>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</si>
  <si>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</si>
  <si>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</si>
  <si>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</si>
  <si>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</si>
  <si>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</si>
  <si>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</si>
  <si>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</si>
  <si>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</si>
  <si>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</si>
  <si>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</si>
  <si>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</si>
  <si>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</si>
  <si>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</si>
  <si>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</si>
  <si>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</si>
  <si>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</si>
  <si>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</si>
  <si>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</si>
  <si>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</si>
  <si>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</si>
  <si>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</si>
  <si>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</si>
  <si>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</si>
  <si>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</si>
  <si>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</si>
  <si>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</si>
  <si>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</si>
  <si>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</si>
  <si>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</si>
  <si>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</si>
  <si>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</si>
  <si>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</si>
  <si>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</si>
  <si>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</si>
  <si>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</si>
  <si>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</si>
  <si>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</si>
  <si>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</si>
  <si>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</si>
  <si>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</si>
  <si>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</si>
  <si>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</si>
  <si>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</si>
  <si>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</si>
  <si>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</si>
  <si>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</si>
  <si>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</si>
  <si>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</si>
  <si>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</si>
  <si>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</si>
  <si>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</si>
  <si>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</si>
  <si>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</si>
  <si>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</si>
  <si>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</si>
  <si>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</si>
  <si>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</si>
  <si>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</si>
  <si>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</si>
  <si>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</si>
  <si>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</si>
  <si>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</si>
  <si>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</si>
  <si>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</si>
  <si>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</si>
  <si>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</si>
  <si>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</si>
  <si>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</si>
  <si>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</si>
  <si>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</si>
  <si>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</si>
  <si>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</si>
  <si>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</si>
  <si>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</si>
  <si>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</si>
  <si>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</si>
  <si>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</si>
  <si>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</si>
  <si>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</si>
  <si>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</si>
  <si>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</si>
  <si>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</si>
  <si>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</si>
  <si>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</si>
  <si>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</si>
  <si>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</si>
  <si>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</si>
  <si>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</si>
  <si>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</si>
  <si>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</si>
  <si>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</si>
  <si>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</si>
  <si>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</si>
  <si>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</si>
  <si>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</si>
  <si>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</si>
  <si>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</si>
  <si>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</si>
  <si>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</si>
  <si>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</si>
  <si>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</si>
  <si>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</si>
  <si>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</si>
  <si>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</si>
  <si>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</si>
  <si>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</si>
  <si>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</si>
  <si>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</si>
  <si>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</si>
  <si>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</si>
  <si>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</si>
  <si>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</si>
  <si>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</si>
  <si>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</si>
  <si>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</si>
  <si>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</si>
  <si>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</si>
  <si>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</si>
  <si>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</si>
  <si>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</si>
  <si>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</si>
  <si>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</si>
  <si>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</si>
  <si>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</si>
  <si>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</si>
  <si>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</si>
  <si>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</si>
  <si>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</si>
  <si>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</si>
  <si>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</si>
  <si>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</si>
  <si>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</si>
  <si>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</si>
  <si>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</si>
  <si>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</si>
  <si>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</si>
  <si>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</si>
  <si>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</si>
  <si>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</si>
  <si>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</si>
  <si>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</si>
  <si>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</si>
  <si>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</si>
  <si>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</si>
  <si>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</si>
  <si>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</si>
  <si>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</si>
  <si>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</si>
  <si>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</si>
  <si>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</si>
  <si>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</si>
  <si>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</si>
  <si>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</si>
  <si>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</si>
  <si>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</si>
  <si>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</si>
  <si>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</si>
  <si>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</si>
  <si>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</si>
  <si>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</si>
  <si>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</si>
  <si>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</si>
  <si>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</si>
  <si>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</si>
  <si>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</si>
  <si>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</si>
  <si>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</si>
  <si>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</si>
  <si>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</si>
  <si>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</si>
  <si>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</si>
  <si>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</si>
  <si>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</si>
  <si>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</si>
  <si>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</si>
  <si>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</si>
  <si>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</si>
  <si>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</si>
  <si>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</si>
  <si>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</si>
  <si>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</si>
  <si>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</si>
  <si>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</si>
  <si>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</si>
  <si>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</si>
  <si>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</si>
  <si>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</si>
  <si>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</si>
  <si>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</si>
  <si>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</si>
  <si>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</si>
  <si>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</si>
  <si>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</si>
  <si>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</si>
  <si>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</si>
  <si>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</si>
  <si>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</si>
  <si>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</si>
  <si>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</si>
  <si>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</si>
  <si>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</si>
  <si>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</si>
  <si>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</si>
  <si>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</si>
  <si>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</si>
  <si>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</si>
  <si>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</si>
  <si>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</si>
  <si>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</si>
  <si>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</si>
  <si>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</si>
  <si>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</si>
  <si>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</si>
  <si>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</si>
  <si>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</si>
  <si>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</si>
  <si>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</si>
  <si>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</si>
  <si>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</si>
  <si>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</si>
  <si>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</si>
  <si>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</si>
  <si>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</si>
  <si>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</si>
  <si>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</si>
  <si>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</si>
  <si>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</si>
  <si>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</si>
  <si>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</si>
  <si>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</si>
  <si>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</si>
  <si>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</si>
  <si>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</si>
  <si>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</si>
  <si>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</si>
  <si>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</si>
  <si>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</si>
  <si>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</si>
  <si>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</si>
  <si>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</si>
  <si>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</si>
  <si>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</si>
  <si>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</si>
  <si>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</si>
  <si>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</si>
  <si>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</si>
  <si>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</si>
  <si>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</si>
  <si>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</si>
  <si>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</si>
  <si>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</si>
  <si>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</si>
  <si>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</si>
  <si>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</si>
  <si>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</si>
  <si>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</si>
  <si>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</si>
  <si>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</si>
  <si>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</si>
  <si>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</si>
  <si>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</si>
  <si>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</si>
  <si>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</si>
  <si>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</si>
  <si>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</si>
  <si>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</si>
  <si>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</si>
  <si>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</si>
  <si>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</si>
  <si>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</si>
  <si>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</si>
  <si>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</si>
  <si>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</si>
  <si>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</si>
  <si>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</si>
  <si>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</si>
  <si>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</si>
  <si>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</si>
  <si>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</si>
  <si>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</si>
  <si>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</si>
  <si>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</si>
  <si>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</si>
  <si>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</si>
  <si>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</si>
  <si>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</si>
  <si>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</si>
  <si>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</si>
  <si>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</si>
  <si>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</si>
  <si>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</si>
  <si>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</si>
  <si>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</si>
  <si>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</si>
  <si>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</si>
  <si>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</si>
  <si>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</si>
  <si>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</si>
  <si>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</si>
  <si>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</si>
  <si>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</si>
  <si>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</si>
  <si>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</si>
  <si>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</si>
  <si>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</si>
  <si>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</si>
  <si>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</si>
  <si>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</si>
  <si>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</si>
  <si>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</si>
  <si>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</si>
  <si>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</si>
  <si>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</si>
  <si>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</si>
  <si>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</si>
  <si>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</si>
  <si>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</si>
  <si>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</si>
  <si>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</si>
  <si>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</si>
  <si>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</si>
  <si>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</si>
  <si>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</si>
  <si>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</si>
  <si>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</si>
  <si>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</si>
  <si>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</si>
  <si>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</si>
  <si>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</si>
  <si>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</si>
  <si>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</si>
  <si>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</si>
  <si>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</si>
  <si>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</si>
  <si>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</si>
  <si>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</si>
  <si>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</si>
  <si>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</si>
  <si>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</si>
  <si>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</si>
  <si>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</si>
  <si>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</si>
  <si>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</si>
  <si>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</si>
  <si>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</si>
  <si>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</si>
  <si>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</si>
  <si>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</si>
  <si>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</si>
  <si>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</si>
  <si>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</si>
  <si>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</si>
  <si>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</si>
  <si>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</si>
  <si>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</si>
  <si>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</si>
  <si>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</si>
  <si>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</si>
  <si>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</si>
  <si>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</si>
  <si>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</si>
  <si>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</si>
  <si>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</si>
  <si>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</si>
  <si>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</si>
  <si>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</si>
  <si>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</si>
  <si>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</si>
  <si>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</si>
  <si>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</si>
  <si>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</si>
  <si>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</si>
  <si>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</si>
  <si>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</si>
  <si>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</si>
  <si>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</si>
  <si>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</si>
  <si>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</si>
  <si>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</si>
  <si>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</si>
  <si>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</si>
  <si>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</si>
  <si>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</si>
  <si>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</si>
  <si>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</si>
  <si>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</si>
  <si>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</si>
  <si>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</si>
  <si>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</si>
  <si>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</si>
  <si>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</si>
  <si>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</si>
  <si>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</si>
  <si>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</si>
  <si>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</si>
  <si>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</si>
  <si>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</si>
  <si>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</si>
  <si>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</si>
  <si>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</si>
  <si>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</si>
  <si>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</si>
  <si>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</si>
  <si>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</si>
  <si>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</si>
  <si>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</si>
  <si>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</si>
  <si>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</si>
  <si>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</si>
  <si>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</si>
  <si>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</si>
  <si>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</si>
  <si>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</si>
  <si>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</si>
  <si>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</si>
  <si>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</si>
  <si>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</si>
  <si>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</si>
  <si>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</si>
  <si>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</si>
  <si>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</si>
  <si>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</si>
  <si>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</si>
  <si>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</si>
  <si>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</si>
  <si>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</si>
  <si>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</si>
  <si>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</si>
  <si>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</si>
  <si>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</si>
  <si>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</si>
  <si>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</si>
  <si>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</si>
  <si>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</si>
  <si>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</si>
  <si>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</si>
  <si>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</si>
  <si>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</si>
  <si>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</si>
  <si>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</si>
  <si>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</si>
  <si>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</si>
  <si>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</si>
  <si>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</si>
  <si>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</si>
  <si>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</si>
  <si>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</si>
  <si>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</si>
  <si>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</si>
  <si>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</si>
  <si>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</si>
  <si>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</si>
  <si>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</si>
  <si>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</si>
  <si>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</si>
  <si>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</si>
  <si>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</si>
  <si>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</si>
  <si>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</si>
  <si>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</si>
  <si>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</si>
  <si>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</si>
  <si>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</si>
  <si>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</si>
  <si>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</si>
  <si>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</si>
  <si>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</si>
  <si>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</si>
  <si>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</si>
  <si>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</si>
  <si>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</si>
  <si>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</si>
  <si>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</si>
  <si>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</si>
  <si>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</si>
  <si>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</si>
  <si>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</si>
  <si>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</si>
  <si>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</si>
  <si>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</si>
  <si>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</si>
  <si>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</si>
  <si>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</si>
  <si>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</si>
  <si>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</si>
  <si>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</si>
  <si>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</si>
  <si>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</si>
  <si>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</si>
  <si>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</si>
  <si>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</si>
  <si>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</si>
  <si>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</si>
  <si>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</si>
  <si>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</si>
  <si>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</si>
  <si>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</si>
  <si>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</si>
  <si>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</si>
  <si>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</si>
  <si>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</si>
  <si>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</si>
  <si>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</si>
  <si>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</si>
  <si>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</si>
  <si>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</si>
  <si>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</si>
  <si>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</si>
  <si>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</si>
  <si>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</si>
  <si>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</si>
  <si>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</si>
  <si>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</si>
  <si>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</si>
  <si>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</si>
  <si>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</si>
  <si>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</si>
  <si>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</si>
  <si>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</si>
  <si>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</si>
  <si>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</si>
  <si>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</si>
  <si>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</si>
  <si>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</si>
  <si>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</si>
  <si>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</si>
  <si>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</si>
  <si>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</si>
  <si>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</si>
  <si>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</si>
  <si>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</si>
  <si>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</si>
  <si>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</si>
  <si>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</si>
  <si>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</si>
  <si>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</si>
  <si>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</si>
  <si>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</si>
  <si>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</si>
  <si>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</si>
  <si>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</si>
  <si>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</si>
  <si>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</si>
  <si>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</si>
  <si>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</si>
  <si>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</si>
  <si>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</si>
  <si>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</si>
  <si>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</si>
  <si>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</si>
  <si>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</si>
  <si>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</si>
  <si>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</si>
  <si>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</si>
  <si>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</si>
  <si>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</si>
  <si>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</si>
  <si>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</si>
  <si>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</si>
  <si>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</si>
  <si>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</si>
  <si>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</si>
  <si>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</si>
  <si>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</si>
  <si>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</si>
  <si>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</si>
  <si>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</si>
  <si>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</si>
  <si>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</si>
  <si>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</si>
  <si>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</si>
  <si>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</si>
  <si>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</si>
  <si>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</si>
  <si>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</si>
  <si>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</si>
  <si>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</si>
  <si>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</si>
  <si>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</si>
  <si>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</si>
  <si>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</si>
  <si>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</si>
  <si>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</si>
  <si>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</si>
  <si>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</si>
  <si>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</si>
  <si>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</si>
  <si>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</si>
  <si>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</si>
  <si>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</si>
  <si>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</si>
  <si>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</si>
  <si>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</si>
  <si>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</si>
  <si>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</si>
  <si>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</si>
  <si>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</si>
  <si>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</si>
  <si>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</si>
  <si>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</si>
  <si>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</si>
  <si>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</si>
  <si>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</si>
  <si>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</si>
  <si>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</si>
  <si>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</si>
  <si>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</si>
  <si>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</si>
  <si>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</si>
  <si>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</si>
  <si>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</si>
  <si>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</si>
  <si>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</si>
  <si>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</si>
  <si>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</si>
  <si>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</si>
  <si>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</si>
  <si>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</si>
  <si>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</si>
  <si>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</si>
  <si>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</si>
  <si>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</si>
  <si>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</si>
  <si>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</si>
  <si>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</si>
  <si>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</si>
  <si>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</si>
  <si>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</si>
  <si>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</si>
  <si>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</si>
  <si>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</si>
  <si>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</si>
  <si>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</si>
  <si>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</si>
  <si>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</si>
  <si>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</si>
  <si>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</si>
  <si>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</si>
  <si>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</si>
  <si>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</si>
  <si>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</si>
  <si>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</si>
  <si>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</si>
  <si>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</si>
  <si>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</si>
  <si>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</si>
  <si>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</si>
  <si>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</si>
  <si>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</si>
  <si>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</si>
  <si>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</si>
  <si>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</si>
  <si>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</si>
  <si>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</si>
  <si>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</si>
  <si>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</si>
  <si>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</si>
  <si>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</si>
  <si>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</si>
  <si>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</si>
  <si>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</si>
  <si>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</si>
  <si>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</si>
  <si>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</si>
  <si>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</si>
  <si>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</si>
  <si>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</si>
  <si>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</si>
  <si>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</si>
  <si>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</si>
  <si>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</si>
  <si>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</si>
  <si>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</si>
  <si>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</si>
  <si>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</si>
  <si>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</si>
  <si>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</si>
  <si>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</si>
  <si>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</si>
  <si>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</si>
  <si>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</si>
  <si>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</si>
  <si>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</si>
  <si>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</si>
  <si>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</si>
  <si>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</si>
  <si>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</si>
  <si>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</si>
  <si>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</si>
  <si>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</si>
  <si>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</si>
  <si>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</si>
  <si>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</si>
  <si>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</si>
  <si>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</si>
  <si>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</si>
  <si>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</si>
  <si>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</si>
  <si>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</si>
  <si>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</si>
  <si>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</si>
  <si>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</si>
  <si>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</si>
  <si>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</si>
  <si>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</si>
  <si>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</si>
  <si>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</si>
  <si>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</si>
  <si>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</si>
  <si>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</si>
  <si>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</si>
  <si>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</si>
  <si>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</si>
  <si>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</si>
  <si>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</si>
  <si>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</si>
  <si>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</si>
  <si>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</si>
  <si>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</si>
  <si>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</si>
  <si>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</si>
  <si>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</si>
  <si>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</si>
  <si>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</si>
  <si>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</si>
  <si>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</si>
  <si>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</si>
  <si>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</si>
  <si>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</si>
  <si>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</si>
  <si>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</si>
  <si>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</si>
  <si>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</si>
  <si>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</si>
  <si>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</si>
  <si>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</si>
  <si>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</si>
  <si>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</si>
  <si>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</si>
  <si>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</si>
  <si>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</si>
  <si>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</si>
  <si>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</si>
  <si>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</si>
  <si>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</si>
  <si>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</si>
  <si>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</si>
  <si>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</si>
  <si>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</si>
  <si>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</si>
  <si>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</si>
  <si>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</si>
  <si>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</si>
  <si>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</si>
  <si>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</si>
  <si>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</si>
  <si>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</si>
  <si>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</si>
  <si>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</si>
  <si>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</si>
  <si>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</si>
  <si>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</si>
  <si>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</si>
  <si>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</si>
  <si>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</si>
  <si>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</si>
  <si>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</si>
  <si>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</si>
  <si>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</si>
  <si>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</si>
  <si>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</si>
  <si>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</si>
  <si>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</si>
  <si>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</si>
  <si>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</si>
  <si>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</si>
  <si>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</si>
  <si>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</si>
  <si>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</si>
  <si>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</si>
  <si>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</si>
  <si>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</si>
  <si>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</si>
  <si>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</si>
  <si>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</si>
  <si>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</si>
  <si>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</si>
  <si>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</si>
  <si>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</si>
  <si>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Amount</t>
  </si>
  <si>
    <t>18-27</t>
  </si>
  <si>
    <t>28-37</t>
  </si>
  <si>
    <t>38-47</t>
  </si>
  <si>
    <t>48-57</t>
  </si>
  <si>
    <t>58-67</t>
  </si>
  <si>
    <t>Total Sales Amount</t>
  </si>
  <si>
    <t>Average</t>
  </si>
  <si>
    <t>of Product</t>
  </si>
  <si>
    <t>Insights: Clothing product has the highest sales whereas electronics has underperform</t>
  </si>
  <si>
    <t>Products</t>
  </si>
  <si>
    <t>Monthly Date</t>
  </si>
  <si>
    <t>(All)</t>
  </si>
  <si>
    <t>Total Sales</t>
  </si>
  <si>
    <t>Sum of Quantity</t>
  </si>
  <si>
    <t>Month</t>
  </si>
  <si>
    <t>Season</t>
  </si>
  <si>
    <t>Monsoon</t>
  </si>
  <si>
    <t>Festival/Winter</t>
  </si>
  <si>
    <t>Summer/Holidays</t>
  </si>
  <si>
    <t>Total Transactions</t>
  </si>
  <si>
    <t>Average order value</t>
  </si>
  <si>
    <t>Count of Customer ID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</si>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</sst>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9" fontId="0" fillId="0" borderId="0" xfId="1" applyFont="1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5970.509982754629" createdVersion="8" refreshedVersion="8" minRefreshableVersion="3" recordCount="2000" xr:uid="{49B16A15-03E1-4D1C-9BD9-161B6535C2B9}">
  <cacheSource type="worksheet">
    <worksheetSource name="RetailStore"/>
  </cacheSource>
  <cacheFields count="14">
    <cacheField name="Transaction ID" numFmtId="0">
      <sharedItems containsSemiMixedTypes="0" containsString="0" containsNumber="1" containsInteger="1" minValue="1" maxValue="2000"/>
    </cacheField>
    <cacheField name="Date" numFmtId="14">
      <sharedItems containsSemiMixedTypes="0" containsNonDate="0" containsDate="1" containsString="0" minDate="2023-01-01T00:00:00" maxDate="2025-01-01T00:00:00" count="681">
        <d v="2023-11-24T00:00:00"/>
        <d v="2023-04-25T00:00:00"/>
        <d v="2023-08-05T00:00:00"/>
        <d v="2023-09-16T00:00:00"/>
        <d v="2023-08-18T00:00:00"/>
        <d v="2023-05-23T00:00:00"/>
        <d v="2023-07-14T00:00:00"/>
        <d v="2023-01-23T00:00:00"/>
        <d v="2023-10-10T00:00:00"/>
        <d v="2023-04-09T00:00:00"/>
        <d v="2023-05-29T00:00:00"/>
        <d v="2023-08-21T00:00:00"/>
        <d v="2023-12-10T00:00:00"/>
        <d v="2023-11-22T00:00:00"/>
        <d v="2023-08-25T00:00:00"/>
        <d v="2023-06-16T00:00:00"/>
        <d v="2023-05-18T00:00:00"/>
        <d v="2023-12-02T00:00:00"/>
        <d v="2023-05-16T00:00:00"/>
        <d v="2023-10-27T00:00:00"/>
        <d v="2023-03-12T00:00:00"/>
        <d v="2023-11-18T00:00:00"/>
        <d v="2023-07-15T00:00:00"/>
        <d v="2023-02-28T00:00:00"/>
        <d v="2023-08-11T00:00:00"/>
        <d v="2023-04-02T00:00:00"/>
        <d v="2023-07-11T00:00:00"/>
        <d v="2023-06-15T00:00:00"/>
        <d v="2023-06-07T00:00:00"/>
        <d v="2023-09-06T00:00:00"/>
        <d v="2023-09-01T00:00:00"/>
        <d v="2023-10-04T00:00:00"/>
        <d v="2023-11-29T00:00:00"/>
        <d v="2023-05-07T00:00:00"/>
        <d v="2023-10-11T00:00:00"/>
        <d v="2023-12-29T00:00:00"/>
        <d v="2023-06-19T00:00:00"/>
        <d v="2023-08-31T00:00:00"/>
        <d v="2023-08-09T00:00:00"/>
        <d v="2023-01-28T00:00:00"/>
        <d v="2023-02-25T00:00:00"/>
        <d v="2023-02-08T00:00:00"/>
        <d v="2023-01-30T00:00:00"/>
        <d v="2023-09-02T00:00:00"/>
        <d v="2023-04-06T00:00:00"/>
        <d v="2023-03-03T00:00:00"/>
        <d v="2023-02-11T00:00:00"/>
        <d v="2023-04-15T00:00:00"/>
        <d v="2023-08-23T00:00:00"/>
        <d v="2023-05-26T00:00:00"/>
        <d v="2023-12-01T00:00:00"/>
        <d v="2023-02-23T00:00:00"/>
        <d v="2023-06-25T00:00:00"/>
        <d v="2023-09-08T00:00:00"/>
        <d v="2023-05-22T00:00:00"/>
        <d v="2023-05-15T00:00:00"/>
        <d v="2023-01-05T00:00:00"/>
        <d v="2023-01-19T00:00:00"/>
        <d v="2023-03-07T00:00:00"/>
        <d v="2023-07-03T00:00:00"/>
        <d v="2023-10-14T00:00:00"/>
        <d v="2023-05-02T00:00:00"/>
        <d v="2023-06-20T00:00:00"/>
        <d v="2023-03-23T00:00:00"/>
        <d v="2023-04-13T00:00:00"/>
        <d v="2023-01-13T00:00:00"/>
        <d v="2023-02-05T00:00:00"/>
        <d v="2023-10-02T00:00:00"/>
        <d v="2023-10-25T00:00:00"/>
        <d v="2023-06-10T00:00:00"/>
        <d v="2023-10-23T00:00:00"/>
        <d v="2023-09-24T00:00:00"/>
        <d v="2023-06-08T00:00:00"/>
        <d v="2023-03-31T00:00:00"/>
        <d v="2023-05-27T00:00:00"/>
        <d v="2023-08-15T00:00:00"/>
        <d v="2023-03-28T00:00:00"/>
        <d v="2023-05-01T00:00:00"/>
        <d v="2023-01-24T00:00:00"/>
        <d v="2023-08-01T00:00:00"/>
        <d v="2023-07-24T00:00:00"/>
        <d v="2023-02-24T00:00:00"/>
        <d v="2023-10-13T00:00:00"/>
        <d v="2023-08-26T00:00:00"/>
        <d v="2023-10-08T00:00:00"/>
        <d v="2023-05-13T00:00:00"/>
        <d v="2023-05-03T00:00:00"/>
        <d v="2023-05-20T00:00:00"/>
        <d v="2023-03-19T00:00:00"/>
        <d v="2023-04-20T00:00:00"/>
        <d v="2023-08-27T00:00:00"/>
        <d v="2023-06-30T00:00:00"/>
        <d v="2023-04-23T00:00:00"/>
        <d v="2023-02-06T00:00:00"/>
        <d v="2023-11-26T00:00:00"/>
        <d v="2023-05-14T00:00:00"/>
        <d v="2023-06-22T00:00:00"/>
        <d v="2023-05-12T00:00:00"/>
        <d v="2023-03-25T00:00:00"/>
        <d v="2023-06-09T00:00:00"/>
        <d v="2023-10-31T00:00:00"/>
        <d v="2023-12-17T00:00:00"/>
        <d v="2023-08-08T00:00:00"/>
        <d v="2023-08-04T00:00:00"/>
        <d v="2023-08-24T00:00:00"/>
        <d v="2023-10-03T00:00:00"/>
        <d v="2023-05-06T00:00:00"/>
        <d v="2023-01-06T00:00:00"/>
        <d v="2023-10-12T00:00:00"/>
        <d v="2023-01-09T00:00:00"/>
        <d v="2023-05-05T00:00:00"/>
        <d v="2023-12-26T00:00:00"/>
        <d v="2023-04-21T00:00:00"/>
        <d v="2023-04-10T00:00:00"/>
        <d v="2023-01-08T00:00:00"/>
        <d v="2023-05-30T00:00:00"/>
        <d v="2023-01-07T00:00:00"/>
        <d v="2023-04-05T00:00:00"/>
        <d v="2023-02-03T00:00:00"/>
        <d v="2023-03-18T00:00:00"/>
        <d v="2023-08-02T00:00:00"/>
        <d v="2023-11-14T00:00:00"/>
        <d v="2023-04-17T00:00:00"/>
        <d v="2023-07-29T00:00:00"/>
        <d v="2023-01-17T00:00:00"/>
        <d v="2023-11-17T00:00:00"/>
        <d v="2023-06-05T00:00:00"/>
        <d v="2023-05-09T00:00:00"/>
        <d v="2023-12-11T00:00:00"/>
        <d v="2023-09-23T00:00:00"/>
        <d v="2023-09-09T00:00:00"/>
        <d v="2023-06-14T00:00:00"/>
        <d v="2023-09-11T00:00:00"/>
        <d v="2023-02-15T00:00:00"/>
        <d v="2023-07-26T00:00:00"/>
        <d v="2023-05-28T00:00:00"/>
        <d v="2023-11-19T00:00:00"/>
        <d v="2023-03-02T00:00:00"/>
        <d v="2023-12-28T00:00:00"/>
        <d v="2023-08-22T00:00:00"/>
        <d v="2023-01-02T00:00:00"/>
        <d v="2023-02-21T00:00:00"/>
        <d v="2023-03-15T00:00:00"/>
        <d v="2023-11-20T00:00:00"/>
        <d v="2023-02-20T00:00:00"/>
        <d v="2023-01-15T00:00:00"/>
        <d v="2023-12-16T00:00:00"/>
        <d v="2023-09-05T00:00:00"/>
        <d v="2023-06-01T00:00:00"/>
        <d v="2023-04-08T00:00:00"/>
        <d v="2023-02-19T00:00:00"/>
        <d v="2023-07-06T00:00:00"/>
        <d v="2023-09-14T00:00:00"/>
        <d v="2023-04-26T00:00:00"/>
        <d v="2023-07-22T00:00:00"/>
        <d v="2023-07-08T00:00:00"/>
        <d v="2023-12-12T00:00:00"/>
        <d v="2023-11-09T00:00:00"/>
        <d v="2023-12-25T00:00:00"/>
        <d v="2023-12-23T00:00:00"/>
        <d v="2023-07-05T00:00:00"/>
        <d v="2023-07-23T00:00:00"/>
        <d v="2023-12-06T00:00:00"/>
        <d v="2023-03-17T00:00:00"/>
        <d v="2023-09-03T00:00:00"/>
        <d v="2023-12-31T00:00:00"/>
        <d v="2023-11-02T00:00:00"/>
        <d v="2023-08-20T00:00:00"/>
        <d v="2023-05-11T00:00:00"/>
        <d v="2023-02-16T00:00:00"/>
        <d v="2023-07-10T00:00:00"/>
        <d v="2023-03-04T00:00:00"/>
        <d v="2023-01-27T00:00:00"/>
        <d v="2023-12-03T00:00:00"/>
        <d v="2023-09-29T00:00:00"/>
        <d v="2023-03-22T00:00:00"/>
        <d v="2023-10-18T00:00:00"/>
        <d v="2023-11-13T00:00:00"/>
        <d v="2023-12-05T00:00:00"/>
        <d v="2023-02-26T00:00:00"/>
        <d v="2023-12-08T00:00:00"/>
        <d v="2023-01-29T00:00:00"/>
        <d v="2023-09-12T00:00:00"/>
        <d v="2023-12-27T00:00:00"/>
        <d v="2024-01-13T00:00:00"/>
        <d v="2023-02-09T00:00:00"/>
        <d v="2023-08-12T00:00:00"/>
        <d v="2023-02-10T00:00:00"/>
        <d v="2023-09-19T00:00:00"/>
        <d v="2023-02-22T00:00:00"/>
        <d v="2023-03-20T00:00:00"/>
        <d v="2023-10-16T00:00:00"/>
        <d v="2023-09-17T00:00:00"/>
        <d v="2023-11-01T00:00:00"/>
        <d v="2023-10-20T00:00:00"/>
        <d v="2023-02-13T00:00:00"/>
        <d v="2023-09-26T00:00:00"/>
        <d v="2023-12-14T00:00:00"/>
        <d v="2023-06-18T00:00:00"/>
        <d v="2023-07-12T00:00:00"/>
        <d v="2023-08-13T00:00:00"/>
        <d v="2023-08-29T00:00:00"/>
        <d v="2023-05-25T00:00:00"/>
        <d v="2023-02-12T00:00:00"/>
        <d v="2023-07-17T00:00:00"/>
        <d v="2023-08-30T00:00:00"/>
        <d v="2023-01-03T00:00:00"/>
        <d v="2023-09-21T00:00:00"/>
        <d v="2023-01-01T00:00:00"/>
        <d v="2023-12-07T00:00:00"/>
        <d v="2023-10-06T00:00:00"/>
        <d v="2023-07-18T00:00:00"/>
        <d v="2023-02-04T00:00:00"/>
        <d v="2023-06-23T00:00:00"/>
        <d v="2023-04-04T00:00:00"/>
        <d v="2023-05-31T00:00:00"/>
        <d v="2023-11-28T00:00:00"/>
        <d v="2023-12-21T00:00:00"/>
        <d v="2023-12-20T00:00:00"/>
        <d v="2023-11-27T00:00:00"/>
        <d v="2023-03-30T00:00:00"/>
        <d v="2023-06-27T00:00:00"/>
        <d v="2023-06-03T00:00:00"/>
        <d v="2023-09-10T00:00:00"/>
        <d v="2023-10-22T00:00:00"/>
        <d v="2023-03-08T00:00:00"/>
        <d v="2023-04-11T00:00:00"/>
        <d v="2023-10-01T00:00:00"/>
        <d v="2023-06-04T00:00:00"/>
        <d v="2023-05-04T00:00:00"/>
        <d v="2023-03-14T00:00:00"/>
        <d v="2023-11-12T00:00:00"/>
        <d v="2023-01-26T00:00:00"/>
        <d v="2023-01-21T00:00:00"/>
        <d v="2023-11-10T00:00:00"/>
        <d v="2023-10-26T00:00:00"/>
        <d v="2023-12-15T00:00:00"/>
        <d v="2023-01-10T00:00:00"/>
        <d v="2023-02-01T00:00:00"/>
        <d v="2023-09-30T00:00:00"/>
        <d v="2023-06-02T00:00:00"/>
        <d v="2023-01-22T00:00:00"/>
        <d v="2023-04-30T00:00:00"/>
        <d v="2023-08-07T00:00:00"/>
        <d v="2023-03-13T00:00:00"/>
        <d v="2023-07-16T00:00:00"/>
        <d v="2023-03-10T00:00:00"/>
        <d v="2023-04-22T00:00:00"/>
        <d v="2023-02-02T00:00:00"/>
        <d v="2023-09-15T00:00:00"/>
        <d v="2023-11-03T00:00:00"/>
        <d v="2023-07-19T00:00:00"/>
        <d v="2023-08-19T00:00:00"/>
        <d v="2023-02-07T00:00:00"/>
        <d v="2023-06-13T00:00:00"/>
        <d v="2023-04-28T00:00:00"/>
        <d v="2023-10-05T00:00:00"/>
        <d v="2023-12-09T00:00:00"/>
        <d v="2023-09-07T00:00:00"/>
        <d v="2023-12-24T00:00:00"/>
        <d v="2023-07-01T00:00:00"/>
        <d v="2023-03-29T00:00:00"/>
        <d v="2023-02-18T00:00:00"/>
        <d v="2023-06-11T00:00:00"/>
        <d v="2023-11-11T00:00:00"/>
        <d v="2023-05-19T00:00:00"/>
        <d v="2023-11-30T00:00:00"/>
        <d v="2023-12-22T00:00:00"/>
        <d v="2023-05-24T00:00:00"/>
        <d v="2023-10-07T00:00:00"/>
        <d v="2023-05-10T00:00:00"/>
        <d v="2023-05-08T00:00:00"/>
        <d v="2024-12-18T00:00:00"/>
        <d v="2023-04-29T00:00:00"/>
        <d v="2023-12-30T00:00:00"/>
        <d v="2023-01-16T00:00:00"/>
        <d v="2023-04-16T00:00:00"/>
        <d v="2023-10-21T00:00:00"/>
        <d v="2023-07-30T00:00:00"/>
        <d v="2023-03-09T00:00:00"/>
        <d v="2023-06-17T00:00:00"/>
        <d v="2023-07-04T00:00:00"/>
        <d v="2023-11-07T00:00:00"/>
        <d v="2023-11-23T00:00:00"/>
        <d v="2023-01-31T00:00:00"/>
        <d v="2023-03-21T00:00:00"/>
        <d v="2023-02-14T00:00:00"/>
        <d v="2023-09-13T00:00:00"/>
        <d v="2023-11-15T00:00:00"/>
        <d v="2023-04-12T00:00:00"/>
        <d v="2023-10-28T00:00:00"/>
        <d v="2023-10-17T00:00:00"/>
        <d v="2023-04-07T00:00:00"/>
        <d v="2023-01-20T00:00:00"/>
        <d v="2023-09-27T00:00:00"/>
        <d v="2023-01-12T00:00:00"/>
        <d v="2023-10-15T00:00:00"/>
        <d v="2023-06-12T00:00:00"/>
        <d v="2023-03-27T00:00:00"/>
        <d v="2023-07-13T00:00:00"/>
        <d v="2023-01-18T00:00:00"/>
        <d v="2023-11-25T00:00:00"/>
        <d v="2023-04-19T00:00:00"/>
        <d v="2023-11-08T00:00:00"/>
        <d v="2023-07-28T00:00:00"/>
        <d v="2023-04-24T00:00:00"/>
        <d v="2023-11-21T00:00:00"/>
        <d v="2023-04-27T00:00:00"/>
        <d v="2023-01-25T00:00:00"/>
        <d v="2023-03-01T00:00:00"/>
        <d v="2023-12-18T00:00:00"/>
        <d v="2023-07-25T00:00:00"/>
        <d v="2023-10-30T00:00:00"/>
        <d v="2023-03-26T00:00:00"/>
        <d v="2023-09-18T00:00:00"/>
        <d v="2023-06-24T00:00:00"/>
        <d v="2023-07-31T00:00:00"/>
        <d v="2023-06-26T00:00:00"/>
        <d v="2023-03-16T00:00:00"/>
        <d v="2023-03-24T00:00:00"/>
        <d v="2023-01-04T00:00:00"/>
        <d v="2023-07-20T00:00:00"/>
        <d v="2023-10-09T00:00:00"/>
        <d v="2023-12-04T00:00:00"/>
        <d v="2023-04-18T00:00:00"/>
        <d v="2023-09-25T00:00:00"/>
        <d v="2023-09-04T00:00:00"/>
        <d v="2023-10-29T00:00:00"/>
        <d v="2023-07-07T00:00:00"/>
        <d v="2024-05-30T00:00:00"/>
        <d v="2023-11-04T00:00:00"/>
        <d v="2023-07-09T00:00:00"/>
        <d v="2023-09-20T00:00:00"/>
        <d v="2023-02-17T00:00:00"/>
        <d v="2023-04-14T00:00:00"/>
        <d v="2023-12-19T00:00:00"/>
        <d v="2023-08-03T00:00:00"/>
        <d v="2023-04-03T00:00:00"/>
        <d v="2023-06-21T00:00:00"/>
        <d v="2023-01-11T00:00:00"/>
        <d v="2023-08-16T00:00:00"/>
        <d v="2023-03-11T00:00:00"/>
        <d v="2023-05-17T00:00:00"/>
        <d v="2023-06-28T00:00:00"/>
        <d v="2024-01-01T00:00:00"/>
        <d v="2024-03-10T00:00:00"/>
        <d v="2024-06-10T00:00:00"/>
        <d v="2024-01-20T00:00:00"/>
        <d v="2024-07-06T00:00:00"/>
        <d v="2024-10-19T00:00:00"/>
        <d v="2024-06-15T00:00:00"/>
        <d v="2024-11-24T00:00:00"/>
        <d v="2024-01-29T00:00:00"/>
        <d v="2024-03-02T00:00:00"/>
        <d v="2024-11-19T00:00:00"/>
        <d v="2024-10-03T00:00:00"/>
        <d v="2024-01-26T00:00:00"/>
        <d v="2024-08-09T00:00:00"/>
        <d v="2024-02-12T00:00:00"/>
        <d v="2024-07-23T00:00:00"/>
        <d v="2024-12-23T00:00:00"/>
        <d v="2024-07-21T00:00:00"/>
        <d v="2024-02-06T00:00:00"/>
        <d v="2024-12-09T00:00:00"/>
        <d v="2024-06-13T00:00:00"/>
        <d v="2024-06-05T00:00:00"/>
        <d v="2024-03-15T00:00:00"/>
        <d v="2024-07-10T00:00:00"/>
        <d v="2024-01-28T00:00:00"/>
        <d v="2024-06-24T00:00:00"/>
        <d v="2024-06-18T00:00:00"/>
        <d v="2024-09-24T00:00:00"/>
        <d v="2024-03-28T00:00:00"/>
        <d v="2024-08-26T00:00:00"/>
        <d v="2024-12-03T00:00:00"/>
        <d v="2024-11-28T00:00:00"/>
        <d v="2024-04-11T00:00:00"/>
        <d v="2024-05-06T00:00:00"/>
        <d v="2024-03-21T00:00:00"/>
        <d v="2024-11-16T00:00:00"/>
        <d v="2024-02-01T00:00:00"/>
        <d v="2024-03-18T00:00:00"/>
        <d v="2024-07-14T00:00:00"/>
        <d v="2024-06-08T00:00:00"/>
        <d v="2024-11-30T00:00:00"/>
        <d v="2024-03-11T00:00:00"/>
        <d v="2024-06-11T00:00:00"/>
        <d v="2024-07-30T00:00:00"/>
        <d v="2024-04-06T00:00:00"/>
        <d v="2024-11-09T00:00:00"/>
        <d v="2024-04-28T00:00:00"/>
        <d v="2024-01-08T00:00:00"/>
        <d v="2024-04-14T00:00:00"/>
        <d v="2024-01-22T00:00:00"/>
        <d v="2024-01-21T00:00:00"/>
        <d v="2024-05-29T00:00:00"/>
        <d v="2024-03-26T00:00:00"/>
        <d v="2024-09-21T00:00:00"/>
        <d v="2024-09-13T00:00:00"/>
        <d v="2024-10-29T00:00:00"/>
        <d v="2024-12-20T00:00:00"/>
        <d v="2024-02-28T00:00:00"/>
        <d v="2024-12-28T00:00:00"/>
        <d v="2024-10-08T00:00:00"/>
        <d v="2024-12-30T00:00:00"/>
        <d v="2024-08-16T00:00:00"/>
        <d v="2024-03-08T00:00:00"/>
        <d v="2024-08-22T00:00:00"/>
        <d v="2024-09-09T00:00:00"/>
        <d v="2024-07-28T00:00:00"/>
        <d v="2024-10-07T00:00:00"/>
        <d v="2024-04-04T00:00:00"/>
        <d v="2024-02-14T00:00:00"/>
        <d v="2024-12-10T00:00:00"/>
        <d v="2024-10-23T00:00:00"/>
        <d v="2024-07-07T00:00:00"/>
        <d v="2024-08-29T00:00:00"/>
        <d v="2024-09-26T00:00:00"/>
        <d v="2024-01-30T00:00:00"/>
        <d v="2024-05-28T00:00:00"/>
        <d v="2024-01-24T00:00:00"/>
        <d v="2024-11-23T00:00:00"/>
        <d v="2024-02-04T00:00:00"/>
        <d v="2024-01-04T00:00:00"/>
        <d v="2024-10-18T00:00:00"/>
        <d v="2024-06-22T00:00:00"/>
        <d v="2024-03-20T00:00:00"/>
        <d v="2024-10-01T00:00:00"/>
        <d v="2024-06-30T00:00:00"/>
        <d v="2024-07-11T00:00:00"/>
        <d v="2024-10-31T00:00:00"/>
        <d v="2024-01-17T00:00:00"/>
        <d v="2024-05-01T00:00:00"/>
        <d v="2024-06-03T00:00:00"/>
        <d v="2024-04-13T00:00:00"/>
        <d v="2024-09-04T00:00:00"/>
        <d v="2024-09-25T00:00:00"/>
        <d v="2024-07-17T00:00:00"/>
        <d v="2024-09-23T00:00:00"/>
        <d v="2024-04-17T00:00:00"/>
        <d v="2024-09-29T00:00:00"/>
        <d v="2024-03-17T00:00:00"/>
        <d v="2024-10-13T00:00:00"/>
        <d v="2024-06-12T00:00:00"/>
        <d v="2024-05-05T00:00:00"/>
        <d v="2024-08-15T00:00:00"/>
        <d v="2024-12-11T00:00:00"/>
        <d v="2024-08-06T00:00:00"/>
        <d v="2024-07-01T00:00:00"/>
        <d v="2024-08-21T00:00:00"/>
        <d v="2024-07-05T00:00:00"/>
        <d v="2024-02-27T00:00:00"/>
        <d v="2024-06-27T00:00:00"/>
        <d v="2024-12-31T00:00:00"/>
        <d v="2024-11-13T00:00:00"/>
        <d v="2024-02-03T00:00:00"/>
        <d v="2024-08-10T00:00:00"/>
        <d v="2024-12-05T00:00:00"/>
        <d v="2024-10-30T00:00:00"/>
        <d v="2024-02-25T00:00:00"/>
        <d v="2024-04-21T00:00:00"/>
        <d v="2024-03-16T00:00:00"/>
        <d v="2024-11-11T00:00:00"/>
        <d v="2024-10-25T00:00:00"/>
        <d v="2024-03-06T00:00:00"/>
        <d v="2024-12-26T00:00:00"/>
        <d v="2024-03-12T00:00:00"/>
        <d v="2024-08-01T00:00:00"/>
        <d v="2024-01-06T00:00:00"/>
        <d v="2024-09-06T00:00:00"/>
        <d v="2024-07-31T00:00:00"/>
        <d v="2024-04-02T00:00:00"/>
        <d v="2024-09-12T00:00:00"/>
        <d v="2024-10-06T00:00:00"/>
        <d v="2024-11-08T00:00:00"/>
        <d v="2024-11-20T00:00:00"/>
        <d v="2024-01-19T00:00:00"/>
        <d v="2024-11-18T00:00:00"/>
        <d v="2024-09-15T00:00:00"/>
        <d v="2024-05-23T00:00:00"/>
        <d v="2024-03-30T00:00:00"/>
        <d v="2024-09-27T00:00:00"/>
        <d v="2024-03-19T00:00:00"/>
        <d v="2024-08-13T00:00:00"/>
        <d v="2024-12-15T00:00:00"/>
        <d v="2024-02-20T00:00:00"/>
        <d v="2024-06-21T00:00:00"/>
        <d v="2024-01-05T00:00:00"/>
        <d v="2024-02-23T00:00:00"/>
        <d v="2024-04-08T00:00:00"/>
        <d v="2024-11-27T00:00:00"/>
        <d v="2024-05-21T00:00:00"/>
        <d v="2024-03-23T00:00:00"/>
        <d v="2024-06-19T00:00:00"/>
        <d v="2024-02-05T00:00:00"/>
        <d v="2024-11-26T00:00:00"/>
        <d v="2024-11-10T00:00:00"/>
        <d v="2024-01-18T00:00:00"/>
        <d v="2024-12-06T00:00:00"/>
        <d v="2024-07-19T00:00:00"/>
        <d v="2024-08-11T00:00:00"/>
        <d v="2024-07-15T00:00:00"/>
        <d v="2024-09-30T00:00:00"/>
        <d v="2024-04-07T00:00:00"/>
        <d v="2024-03-01T00:00:00"/>
        <d v="2024-03-13T00:00:00"/>
        <d v="2024-11-12T00:00:00"/>
        <d v="2024-03-29T00:00:00"/>
        <d v="2024-12-13T00:00:00"/>
        <d v="2024-04-19T00:00:00"/>
        <d v="2024-07-08T00:00:00"/>
        <d v="2024-02-21T00:00:00"/>
        <d v="2024-12-21T00:00:00"/>
        <d v="2024-02-15T00:00:00"/>
        <d v="2024-04-30T00:00:00"/>
        <d v="2024-07-04T00:00:00"/>
        <d v="2024-03-31T00:00:00"/>
        <d v="2024-10-02T00:00:00"/>
        <d v="2024-02-29T00:00:00"/>
        <d v="2024-02-26T00:00:00"/>
        <d v="2024-10-26T00:00:00"/>
        <d v="2024-06-20T00:00:00"/>
        <d v="2024-11-22T00:00:00"/>
        <d v="2024-07-29T00:00:00"/>
        <d v="2024-08-24T00:00:00"/>
        <d v="2024-09-28T00:00:00"/>
        <d v="2024-09-10T00:00:00"/>
        <d v="2024-07-27T00:00:00"/>
        <d v="2024-08-25T00:00:00"/>
        <d v="2024-11-17T00:00:00"/>
        <d v="2024-12-16T00:00:00"/>
        <d v="2024-10-24T00:00:00"/>
        <d v="2024-05-16T00:00:00"/>
        <d v="2024-06-25T00:00:00"/>
        <d v="2024-12-29T00:00:00"/>
        <d v="2024-06-26T00:00:00"/>
        <d v="2024-05-27T00:00:00"/>
        <d v="2024-04-15T00:00:00"/>
        <d v="2024-07-09T00:00:00"/>
        <d v="2024-12-27T00:00:00"/>
        <d v="2024-10-16T00:00:00"/>
        <d v="2024-09-02T00:00:00"/>
        <d v="2024-02-17T00:00:00"/>
        <d v="2024-07-20T00:00:00"/>
        <d v="2024-12-07T00:00:00"/>
        <d v="2024-07-16T00:00:00"/>
        <d v="2024-06-06T00:00:00"/>
        <d v="2024-08-05T00:00:00"/>
        <d v="2024-04-16T00:00:00"/>
        <d v="2024-05-19T00:00:00"/>
        <d v="2024-10-17T00:00:00"/>
        <d v="2024-10-10T00:00:00"/>
        <d v="2024-05-14T00:00:00"/>
        <d v="2024-05-12T00:00:00"/>
        <d v="2024-10-21T00:00:00"/>
        <d v="2024-04-09T00:00:00"/>
        <d v="2024-06-14T00:00:00"/>
        <d v="2024-03-14T00:00:00"/>
        <d v="2024-09-05T00:00:00"/>
        <d v="2024-08-23T00:00:00"/>
        <d v="2024-08-14T00:00:00"/>
        <d v="2024-04-26T00:00:00"/>
        <d v="2024-08-08T00:00:00"/>
        <d v="2024-03-04T00:00:00"/>
        <d v="2024-06-28T00:00:00"/>
        <d v="2024-05-25T00:00:00"/>
        <d v="2024-08-07T00:00:00"/>
        <d v="2024-01-07T00:00:00"/>
        <d v="2024-11-25T00:00:00"/>
        <d v="2024-09-18T00:00:00"/>
        <d v="2024-05-08T00:00:00"/>
        <d v="2024-02-09T00:00:00"/>
        <d v="2024-09-11T00:00:00"/>
        <d v="2024-08-18T00:00:00"/>
        <d v="2024-07-18T00:00:00"/>
        <d v="2024-12-12T00:00:00"/>
        <d v="2024-12-04T00:00:00"/>
        <d v="2024-02-13T00:00:00"/>
        <d v="2024-01-11T00:00:00"/>
        <d v="2024-09-20T00:00:00"/>
        <d v="2024-01-12T00:00:00"/>
        <d v="2024-10-20T00:00:00"/>
        <d v="2024-11-15T00:00:00"/>
        <d v="2024-01-10T00:00:00"/>
        <d v="2024-08-27T00:00:00"/>
        <d v="2024-12-17T00:00:00"/>
        <d v="2024-03-22T00:00:00"/>
        <d v="2024-05-22T00:00:00"/>
        <d v="2024-02-02T00:00:00"/>
        <d v="2024-03-03T00:00:00"/>
        <d v="2024-10-28T00:00:00"/>
        <d v="2024-10-09T00:00:00"/>
        <d v="2024-09-08T00:00:00"/>
        <d v="2024-08-03T00:00:00"/>
        <d v="2024-01-27T00:00:00"/>
        <d v="2024-07-24T00:00:00"/>
        <d v="2024-03-09T00:00:00"/>
        <d v="2024-05-24T00:00:00"/>
        <d v="2024-10-12T00:00:00"/>
        <d v="2024-12-25T00:00:00"/>
        <d v="2024-05-13T00:00:00"/>
        <d v="2024-08-20T00:00:00"/>
        <d v="2024-04-18T00:00:00"/>
        <d v="2024-02-18T00:00:00"/>
        <d v="2024-04-01T00:00:00"/>
        <d v="2024-05-15T00:00:00"/>
        <d v="2024-08-28T00:00:00"/>
        <d v="2024-10-14T00:00:00"/>
        <d v="2024-06-17T00:00:00"/>
        <d v="2024-12-02T00:00:00"/>
        <d v="2024-08-04T00:00:00"/>
        <d v="2024-09-01T00:00:00"/>
        <d v="2024-05-07T00:00:00"/>
        <d v="2024-05-10T00:00:00"/>
        <d v="2024-04-05T00:00:00"/>
        <d v="2024-09-03T00:00:00"/>
        <d v="2024-08-30T00:00:00"/>
        <d v="2024-09-19T00:00:00"/>
        <d v="2024-08-12T00:00:00"/>
        <d v="2024-11-04T00:00:00"/>
        <d v="2024-12-19T00:00:00"/>
        <d v="2024-04-12T00:00:00"/>
        <d v="2024-01-25T00:00:00"/>
        <d v="2024-04-24T00:00:00"/>
        <d v="2024-03-25T00:00:00"/>
        <d v="2024-07-25T00:00:00"/>
        <d v="2024-06-23T00:00:00"/>
        <d v="2024-06-04T00:00:00"/>
        <d v="2024-06-02T00:00:00"/>
        <d v="2024-07-12T00:00:00"/>
        <d v="2024-07-03T00:00:00"/>
        <d v="2024-03-07T00:00:00"/>
        <d v="2024-09-07T00:00:00"/>
        <d v="2024-01-15T00:00:00"/>
        <d v="2024-04-29T00:00:00"/>
        <d v="2024-05-11T00:00:00"/>
        <d v="2024-01-14T00:00:00"/>
        <d v="2024-09-17T00:00:00"/>
        <d v="2024-10-11T00:00:00"/>
        <d v="2024-08-31T00:00:00"/>
        <d v="2024-04-23T00:00:00"/>
        <d v="2024-01-03T00:00:00"/>
        <d v="2024-05-02T00:00:00"/>
        <d v="2024-11-03T00:00:00"/>
        <d v="2024-11-29T00:00:00"/>
        <d v="2024-05-04T00:00:00"/>
        <d v="2024-03-24T00:00:00"/>
        <d v="2024-01-02T00:00:00"/>
        <d v="2024-01-16T00:00:00"/>
        <d v="2024-04-10T00:00:00"/>
        <d v="2024-11-02T00:00:00"/>
        <d v="2024-10-05T00:00:00"/>
        <d v="2024-08-02T00:00:00"/>
        <d v="2024-10-27T00:00:00"/>
        <d v="2024-11-05T00:00:00"/>
        <d v="2024-12-24T00:00:00"/>
        <d v="2024-12-22T00:00:00"/>
        <d v="2024-02-16T00:00:00"/>
        <d v="2024-06-16T00:00:00"/>
        <d v="2024-02-24T00:00:00"/>
        <d v="2024-04-22T00:00:00"/>
        <d v="2024-03-05T00:00:00"/>
        <d v="2024-09-16T00:00:00"/>
        <d v="2024-07-26T00:00:00"/>
        <d v="2024-04-03T00:00:00"/>
        <d v="2024-06-09T00:00:00"/>
        <d v="2024-05-31T00:00:00"/>
        <d v="2024-10-22T00:00:00"/>
        <d v="2024-11-14T00:00:00"/>
        <d v="2024-05-18T00:00:00"/>
        <d v="2024-04-25T00:00:00"/>
        <d v="2024-05-26T00:00:00"/>
        <d v="2024-11-21T00:00:00"/>
        <d v="2024-09-14T00:00:00"/>
        <d v="2024-05-17T00:00:00"/>
        <d v="2024-11-06T00:00:00"/>
        <d v="2024-01-09T00:00:00"/>
        <d v="2024-10-15T00:00:00"/>
        <d v="2024-06-29T00:00:00"/>
        <d v="2024-11-01T00:00:00"/>
        <d v="2024-06-01T00:00:00"/>
      </sharedItems>
      <fieldGroup par="13"/>
    </cacheField>
    <cacheField name="Month" numFmtId="14">
      <sharedItems count="36">
        <s v="Nov"/>
        <s v="Apr"/>
        <s v="Aug"/>
        <s v="Sep"/>
        <s v="May"/>
        <s v="Jul"/>
        <s v="Jan"/>
        <s v="Oct"/>
        <s v="Dec"/>
        <s v="Jun"/>
        <s v="Mar"/>
        <s v="Feb"/>
        <s v="2023-Nov" u="1"/>
        <s v="2023-Apr" u="1"/>
        <s v="2023-Aug" u="1"/>
        <s v="2023-Sep" u="1"/>
        <s v="2023-May" u="1"/>
        <s v="2023-Jul" u="1"/>
        <s v="2023-Jan" u="1"/>
        <s v="2023-Oct" u="1"/>
        <s v="2023-Dec" u="1"/>
        <s v="2023-Jun" u="1"/>
        <s v="2023-Mar" u="1"/>
        <s v="2023-Feb" u="1"/>
        <s v="2024-Jan" u="1"/>
        <s v="2024-Mar" u="1"/>
        <s v="2024-Jun" u="1"/>
        <s v="2024-Jul" u="1"/>
        <s v="2024-Oct" u="1"/>
        <s v="2024-Nov" u="1"/>
        <s v="2024-Aug" u="1"/>
        <s v="2024-Feb" u="1"/>
        <s v="2024-Dec" u="1"/>
        <s v="2024-Sep" u="1"/>
        <s v="2024-Apr" u="1"/>
        <s v="2024-May" u="1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Customer ID" numFmtId="0">
      <sharedItems count="200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989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1285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883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59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  <s v="CUST0501"/>
        <s v="CUST0502"/>
        <s v="CUST0503"/>
        <s v="CUST0504"/>
        <s v="CUST0505"/>
        <s v="CUST0506"/>
        <s v="CUST1736"/>
        <s v="CUST0508"/>
        <s v="CUST0509"/>
        <s v="CUST0510"/>
        <s v="CUST0511"/>
        <s v="CUST0512"/>
        <s v="CUST0513"/>
        <s v="CUST0514"/>
        <s v="CUST0515"/>
        <s v="CUST0516"/>
        <s v="CUST0517"/>
        <s v="CUST0518"/>
        <s v="CUST0519"/>
        <s v="CUST0520"/>
        <s v="CUST0521"/>
        <s v="CUST0522"/>
        <s v="CUST0523"/>
        <s v="CUST0524"/>
        <s v="CUST0525"/>
        <s v="CUST0526"/>
        <s v="CUST0527"/>
        <s v="CUST0528"/>
        <s v="CUST0529"/>
        <s v="CUST0530"/>
        <s v="CUST0531"/>
        <s v="CUST0532"/>
        <s v="CUST0533"/>
        <s v="CUST0534"/>
        <s v="CUST0535"/>
        <s v="CUST0536"/>
        <s v="CUST0537"/>
        <s v="CUST0538"/>
        <s v="CUST0539"/>
        <s v="CUST0540"/>
        <s v="CUST0541"/>
        <s v="CUST0542"/>
        <s v="CUST0543"/>
        <s v="CUST0544"/>
        <s v="CUST0545"/>
        <s v="CUST0546"/>
        <s v="CUST0547"/>
        <s v="CUST0548"/>
        <s v="CUST0549"/>
        <s v="CUST0550"/>
        <s v="CUST0551"/>
        <s v="CUST0552"/>
        <s v="CUST0553"/>
        <s v="CUST0554"/>
        <s v="CUST0555"/>
        <s v="CUST0556"/>
        <s v="CUST0557"/>
        <s v="CUST0558"/>
        <s v="CUST0559"/>
        <s v="CUST0560"/>
        <s v="CUST0561"/>
        <s v="CUST0562"/>
        <s v="CUST0563"/>
        <s v="CUST0564"/>
        <s v="CUST0565"/>
        <s v="CUST0566"/>
        <s v="CUST0567"/>
        <s v="CUST0568"/>
        <s v="CUST0569"/>
        <s v="CUST0570"/>
        <s v="CUST0571"/>
        <s v="CUST0572"/>
        <s v="CUST0573"/>
        <s v="CUST0574"/>
        <s v="CUST0575"/>
        <s v="CUST0576"/>
        <s v="CUST0577"/>
        <s v="CUST0578"/>
        <s v="CUST0579"/>
        <s v="CUST0580"/>
        <s v="CUST0581"/>
        <s v="CUST0582"/>
        <s v="CUST0583"/>
        <s v="CUST0584"/>
        <s v="CUST0585"/>
        <s v="CUST0586"/>
        <s v="CUST0587"/>
        <s v="CUST0588"/>
        <s v="CUST0589"/>
        <s v="CUST0590"/>
        <s v="CUST0591"/>
        <s v="CUST0592"/>
        <s v="CUST0593"/>
        <s v="CUST0594"/>
        <s v="CUST0595"/>
        <s v="CUST0596"/>
        <s v="CUST0597"/>
        <s v="CUST0598"/>
        <s v="CUST0599"/>
        <s v="CUST0600"/>
        <s v="CUST0601"/>
        <s v="CUST0602"/>
        <s v="CUST0603"/>
        <s v="CUST0604"/>
        <s v="CUST0605"/>
        <s v="CUST0606"/>
        <s v="CUST0607"/>
        <s v="CUST0608"/>
        <s v="CUST0609"/>
        <s v="CUST0610"/>
        <s v="CUST0611"/>
        <s v="CUST0612"/>
        <s v="CUST0613"/>
        <s v="CUST0614"/>
        <s v="CUST0615"/>
        <s v="CUST0616"/>
        <s v="CUST0617"/>
        <s v="CUST0618"/>
        <s v="CUST0619"/>
        <s v="CUST0620"/>
        <s v="CUST0621"/>
        <s v="CUST0622"/>
        <s v="CUST0623"/>
        <s v="CUST0624"/>
        <s v="CUST0625"/>
        <s v="CUST0626"/>
        <s v="CUST0627"/>
        <s v="CUST0628"/>
        <s v="CUST0629"/>
        <s v="CUST0630"/>
        <s v="CUST0631"/>
        <s v="CUST0632"/>
        <s v="CUST0633"/>
        <s v="CUST0634"/>
        <s v="CUST0635"/>
        <s v="CUST0636"/>
        <s v="CUST0637"/>
        <s v="CUST0638"/>
        <s v="CUST0639"/>
        <s v="CUST0640"/>
        <s v="CUST0641"/>
        <s v="CUST0642"/>
        <s v="CUST0643"/>
        <s v="CUST0644"/>
        <s v="CUST0645"/>
        <s v="CUST0646"/>
        <s v="CUST0647"/>
        <s v="CUST0648"/>
        <s v="CUST0649"/>
        <s v="CUST0650"/>
        <s v="CUST0651"/>
        <s v="CUST0652"/>
        <s v="CUST0653"/>
        <s v="CUST0654"/>
        <s v="CUST0655"/>
        <s v="CUST0656"/>
        <s v="CUST0657"/>
        <s v="CUST0658"/>
        <s v="CUST0659"/>
        <s v="CUST0660"/>
        <s v="CUST0661"/>
        <s v="CUST0662"/>
        <s v="CUST0663"/>
        <s v="CUST0664"/>
        <s v="CUST0665"/>
        <s v="CUST0666"/>
        <s v="CUST0667"/>
        <s v="CUST0668"/>
        <s v="CUST0669"/>
        <s v="CUST0670"/>
        <s v="CUST0671"/>
        <s v="CUST0672"/>
        <s v="CUST0673"/>
        <s v="CUST0674"/>
        <s v="CUST0675"/>
        <s v="CUST0676"/>
        <s v="CUST0677"/>
        <s v="CUST0678"/>
        <s v="CUST0679"/>
        <s v="CUST0680"/>
        <s v="CUST0681"/>
        <s v="CUST0682"/>
        <s v="CUST0683"/>
        <s v="CUST0684"/>
        <s v="CUST0685"/>
        <s v="CUST0686"/>
        <s v="CUST0687"/>
        <s v="CUST0688"/>
        <s v="CUST0689"/>
        <s v="CUST0690"/>
        <s v="CUST0691"/>
        <s v="CUST0692"/>
        <s v="CUST0693"/>
        <s v="CUST0694"/>
        <s v="CUST0695"/>
        <s v="CUST0696"/>
        <s v="CUST0697"/>
        <s v="CUST0698"/>
        <s v="CUST0699"/>
        <s v="CUST0700"/>
        <s v="CUST0701"/>
        <s v="CUST0702"/>
        <s v="CUST0703"/>
        <s v="CUST0704"/>
        <s v="CUST0705"/>
        <s v="CUST0706"/>
        <s v="CUST0707"/>
        <s v="CUST0708"/>
        <s v="CUST0709"/>
        <s v="CUST0710"/>
        <s v="CUST0711"/>
        <s v="CUST0712"/>
        <s v="CUST0713"/>
        <s v="CUST0714"/>
        <s v="CUST0715"/>
        <s v="CUST0716"/>
        <s v="CUST0717"/>
        <s v="CUST0718"/>
        <s v="CUST0719"/>
        <s v="CUST0720"/>
        <s v="CUST0721"/>
        <s v="CUST0722"/>
        <s v="CUST0723"/>
        <s v="CUST0724"/>
        <s v="CUST0725"/>
        <s v="CUST0726"/>
        <s v="CUST0727"/>
        <s v="CUST0728"/>
        <s v="CUST0729"/>
        <s v="CUST0730"/>
        <s v="CUST0731"/>
        <s v="CUST0732"/>
        <s v="CUST0733"/>
        <s v="CUST0734"/>
        <s v="CUST0735"/>
        <s v="CUST0736"/>
        <s v="CUST0737"/>
        <s v="CUST0738"/>
        <s v="CUST0739"/>
        <s v="CUST0740"/>
        <s v="CUST0741"/>
        <s v="CUST0742"/>
        <s v="CUST0743"/>
        <s v="CUST0744"/>
        <s v="CUST0745"/>
        <s v="CUST0746"/>
        <s v="CUST0747"/>
        <s v="CUST0748"/>
        <s v="CUST0749"/>
        <s v="CUST0750"/>
        <s v="CUST0751"/>
        <s v="CUST0752"/>
        <s v="CUST0753"/>
        <s v="CUST0754"/>
        <s v="CUST0755"/>
        <s v="CUST0756"/>
        <s v="CUST0757"/>
        <s v="CUST0758"/>
        <s v="CUST0759"/>
        <s v="CUST0760"/>
        <s v="CUST0761"/>
        <s v="CUST0762"/>
        <s v="CUST0763"/>
        <s v="CUST0764"/>
        <s v="CUST0765"/>
        <s v="CUST0766"/>
        <s v="CUST0767"/>
        <s v="CUST0768"/>
        <s v="CUST0769"/>
        <s v="CUST0770"/>
        <s v="CUST0771"/>
        <s v="CUST0772"/>
        <s v="CUST0773"/>
        <s v="CUST0774"/>
        <s v="CUST0775"/>
        <s v="CUST0776"/>
        <s v="CUST0777"/>
        <s v="CUST0778"/>
        <s v="CUST0779"/>
        <s v="CUST0780"/>
        <s v="CUST0781"/>
        <s v="CUST0782"/>
        <s v="CUST0783"/>
        <s v="CUST0784"/>
        <s v="CUST0785"/>
        <s v="CUST0786"/>
        <s v="CUST0787"/>
        <s v="CUST0788"/>
        <s v="CUST0789"/>
        <s v="CUST0790"/>
        <s v="CUST0791"/>
        <s v="CUST0792"/>
        <s v="CUST0793"/>
        <s v="CUST0794"/>
        <s v="CUST0795"/>
        <s v="CUST0796"/>
        <s v="CUST0797"/>
        <s v="CUST0798"/>
        <s v="CUST0799"/>
        <s v="CUST0800"/>
        <s v="CUST0801"/>
        <s v="CUST0802"/>
        <s v="CUST0803"/>
        <s v="CUST0804"/>
        <s v="CUST0805"/>
        <s v="CUST0806"/>
        <s v="CUST0807"/>
        <s v="CUST0808"/>
        <s v="CUST0809"/>
        <s v="CUST0810"/>
        <s v="CUST0811"/>
        <s v="CUST0812"/>
        <s v="CUST0813"/>
        <s v="CUST0814"/>
        <s v="CUST0815"/>
        <s v="CUST0816"/>
        <s v="CUST0817"/>
        <s v="CUST0818"/>
        <s v="CUST0819"/>
        <s v="CUST0820"/>
        <s v="CUST0821"/>
        <s v="CUST0822"/>
        <s v="CUST0823"/>
        <s v="CUST0824"/>
        <s v="CUST0825"/>
        <s v="CUST0826"/>
        <s v="CUST0827"/>
        <s v="CUST0828"/>
        <s v="CUST0829"/>
        <s v="CUST0830"/>
        <s v="CUST0831"/>
        <s v="CUST0832"/>
        <s v="CUST0833"/>
        <s v="CUST0834"/>
        <s v="CUST0835"/>
        <s v="CUST0836"/>
        <s v="CUST0837"/>
        <s v="CUST0838"/>
        <s v="CUST0839"/>
        <s v="CUST0840"/>
        <s v="CUST0841"/>
        <s v="CUST0842"/>
        <s v="CUST0843"/>
        <s v="CUST0844"/>
        <s v="CUST0845"/>
        <s v="CUST0846"/>
        <s v="CUST0847"/>
        <s v="CUST0848"/>
        <s v="CUST0849"/>
        <s v="CUST0850"/>
        <s v="CUST0851"/>
        <s v="CUST0852"/>
        <s v="CUST0853"/>
        <s v="CUST0854"/>
        <s v="CUST0855"/>
        <s v="CUST0856"/>
        <s v="CUST0857"/>
        <s v="CUST0858"/>
        <s v="CUST0859"/>
        <s v="CUST0860"/>
        <s v="CUST0861"/>
        <s v="CUST0862"/>
        <s v="CUST0863"/>
        <s v="CUST0864"/>
        <s v="CUST0865"/>
        <s v="CUST0866"/>
        <s v="CUST0867"/>
        <s v="CUST0868"/>
        <s v="CUST0869"/>
        <s v="CUST0870"/>
        <s v="CUST0871"/>
        <s v="CUST0872"/>
        <s v="CUST0873"/>
        <s v="CUST0874"/>
        <s v="CUST0875"/>
        <s v="CUST0876"/>
        <s v="CUST0877"/>
        <s v="CUST0878"/>
        <s v="CUST0879"/>
        <s v="CUST0880"/>
        <s v="CUST0881"/>
        <s v="CUST0882"/>
        <s v="CUST1190"/>
        <s v="CUST0884"/>
        <s v="CUST0885"/>
        <s v="CUST0886"/>
        <s v="CUST0887"/>
        <s v="CUST0888"/>
        <s v="CUST0889"/>
        <s v="CUST0890"/>
        <s v="CUST0891"/>
        <s v="CUST0892"/>
        <s v="CUST0893"/>
        <s v="CUST0894"/>
        <s v="CUST0895"/>
        <s v="CUST0896"/>
        <s v="CUST0897"/>
        <s v="CUST0898"/>
        <s v="CUST0899"/>
        <s v="CUST0900"/>
        <s v="CUST0901"/>
        <s v="CUST0902"/>
        <s v="CUST0903"/>
        <s v="CUST0904"/>
        <s v="CUST0905"/>
        <s v="CUST0906"/>
        <s v="CUST0907"/>
        <s v="CUST0908"/>
        <s v="CUST0909"/>
        <s v="CUST0910"/>
        <s v="CUST0911"/>
        <s v="CUST0912"/>
        <s v="CUST0913"/>
        <s v="CUST0914"/>
        <s v="CUST0915"/>
        <s v="CUST0916"/>
        <s v="CUST0917"/>
        <s v="CUST0918"/>
        <s v="CUST0919"/>
        <s v="CUST0920"/>
        <s v="CUST0921"/>
        <s v="CUST0922"/>
        <s v="CUST0923"/>
        <s v="CUST0924"/>
        <s v="CUST0925"/>
        <s v="CUST0926"/>
        <s v="CUST0927"/>
        <s v="CUST0928"/>
        <s v="CUST0929"/>
        <s v="CUST0930"/>
        <s v="CUST0931"/>
        <s v="CUST0932"/>
        <s v="CUST0933"/>
        <s v="CUST0934"/>
        <s v="CUST0935"/>
        <s v="CUST0936"/>
        <s v="CUST0937"/>
        <s v="CUST0938"/>
        <s v="CUST0939"/>
        <s v="CUST0940"/>
        <s v="CUST0941"/>
        <s v="CUST0942"/>
        <s v="CUST0943"/>
        <s v="CUST0944"/>
        <s v="CUST0945"/>
        <s v="CUST0946"/>
        <s v="CUST0947"/>
        <s v="CUST0948"/>
        <s v="CUST0949"/>
        <s v="CUST0950"/>
        <s v="CUST0951"/>
        <s v="CUST0952"/>
        <s v="CUST0953"/>
        <s v="CUST0954"/>
        <s v="CUST0955"/>
        <s v="CUST0956"/>
        <s v="CUST0957"/>
        <s v="CUST0958"/>
        <s v="CUST0959"/>
        <s v="CUST0960"/>
        <s v="CUST0961"/>
        <s v="CUST0962"/>
        <s v="CUST0963"/>
        <s v="CUST0964"/>
        <s v="CUST0965"/>
        <s v="CUST0966"/>
        <s v="CUST0967"/>
        <s v="CUST0968"/>
        <s v="CUST0969"/>
        <s v="CUST0970"/>
        <s v="CUST0971"/>
        <s v="CUST0972"/>
        <s v="CUST0973"/>
        <s v="CUST0974"/>
        <s v="CUST0975"/>
        <s v="CUST0976"/>
        <s v="CUST0977"/>
        <s v="CUST0978"/>
        <s v="CUST0979"/>
        <s v="CUST0980"/>
        <s v="CUST0981"/>
        <s v="CUST0982"/>
        <s v="CUST0983"/>
        <s v="CUST0984"/>
        <s v="CUST0985"/>
        <s v="CUST0986"/>
        <s v="CUST0987"/>
        <s v="CUST0988"/>
        <s v="CUST0257"/>
        <s v="CUST0990"/>
        <s v="CUST0991"/>
        <s v="CUST0992"/>
        <s v="CUST0993"/>
        <s v="CUST0994"/>
        <s v="CUST0995"/>
        <s v="CUST0996"/>
        <s v="CUST0997"/>
        <s v="CUST0998"/>
        <s v="CUST0999"/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0507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0106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  <s v="CUST1500"/>
        <s v="CUST1501"/>
        <s v="CUST1502"/>
        <s v="CUST1503"/>
        <s v="CUST1504"/>
        <s v="CUST1505"/>
        <s v="CUST1506"/>
        <s v="CUST1507"/>
        <s v="CUST1508"/>
        <s v="CUST1509"/>
        <s v="CUST1510"/>
        <s v="CUST1511"/>
        <s v="CUST1512"/>
        <s v="CUST1513"/>
        <s v="CUST1514"/>
        <s v="CUST1515"/>
        <s v="CUST1516"/>
        <s v="CUST1517"/>
        <s v="CUST1518"/>
        <s v="CUST1519"/>
        <s v="CUST1520"/>
        <s v="CUST1521"/>
        <s v="CUST1522"/>
        <s v="CUST1523"/>
        <s v="CUST1524"/>
        <s v="CUST1525"/>
        <s v="CUST1526"/>
        <s v="CUST1527"/>
        <s v="CUST1528"/>
        <s v="CUST1529"/>
        <s v="CUST1530"/>
        <s v="CUST1531"/>
        <s v="CUST1532"/>
        <s v="CUST1533"/>
        <s v="CUST1534"/>
        <s v="CUST1535"/>
        <s v="CUST1536"/>
        <s v="CUST1537"/>
        <s v="CUST1538"/>
        <s v="CUST1539"/>
        <s v="CUST1540"/>
        <s v="CUST1541"/>
        <s v="CUST1542"/>
        <s v="CUST1543"/>
        <s v="CUST1544"/>
        <s v="CUST1545"/>
        <s v="CUST1546"/>
        <s v="CUST1547"/>
        <s v="CUST1548"/>
        <s v="CUST1549"/>
        <s v="CUST1550"/>
        <s v="CUST1551"/>
        <s v="CUST1552"/>
        <s v="CUST1553"/>
        <s v="CUST1554"/>
        <s v="CUST1555"/>
        <s v="CUST1556"/>
        <s v="CUST1557"/>
        <s v="CUST1558"/>
        <s v="CUST1559"/>
        <s v="CUST1560"/>
        <s v="CUST1561"/>
        <s v="CUST1562"/>
        <s v="CUST1563"/>
        <s v="CUST1564"/>
        <s v="CUST1565"/>
        <s v="CUST1566"/>
        <s v="CUST1567"/>
        <s v="CUST1568"/>
        <s v="CUST1569"/>
        <s v="CUST1570"/>
        <s v="CUST1571"/>
        <s v="CUST1572"/>
        <s v="CUST1573"/>
        <s v="CUST1574"/>
        <s v="CUST1575"/>
        <s v="CUST1576"/>
        <s v="CUST1577"/>
        <s v="CUST1578"/>
        <s v="CUST1579"/>
        <s v="CUST1580"/>
        <s v="CUST1581"/>
        <s v="CUST1582"/>
        <s v="CUST1583"/>
        <s v="CUST1584"/>
        <s v="CUST1585"/>
        <s v="CUST1586"/>
        <s v="CUST1587"/>
        <s v="CUST1588"/>
        <s v="CUST1589"/>
        <s v="CUST1590"/>
        <s v="CUST1591"/>
        <s v="CUST1592"/>
        <s v="CUST1593"/>
        <s v="CUST1594"/>
        <s v="CUST1595"/>
        <s v="CUST1596"/>
        <s v="CUST1597"/>
        <s v="CUST1598"/>
        <s v="CUST1599"/>
        <s v="CUST1600"/>
        <s v="CUST1601"/>
        <s v="CUST1602"/>
        <s v="CUST1603"/>
        <s v="CUST1604"/>
        <s v="CUST1605"/>
        <s v="CUST1606"/>
        <s v="CUST1607"/>
        <s v="CUST1608"/>
        <s v="CUST1609"/>
        <s v="CUST1610"/>
        <s v="CUST1611"/>
        <s v="CUST1612"/>
        <s v="CUST1613"/>
        <s v="CUST1614"/>
        <s v="CUST1615"/>
        <s v="CUST1616"/>
        <s v="CUST1617"/>
        <s v="CUST1618"/>
        <s v="CUST1619"/>
        <s v="CUST1620"/>
        <s v="CUST1621"/>
        <s v="CUST1622"/>
        <s v="CUST1623"/>
        <s v="CUST1624"/>
        <s v="CUST1625"/>
        <s v="CUST1626"/>
        <s v="CUST1627"/>
        <s v="CUST1628"/>
        <s v="CUST1629"/>
        <s v="CUST1630"/>
        <s v="CUST1631"/>
        <s v="CUST1632"/>
        <s v="CUST1633"/>
        <s v="CUST1634"/>
        <s v="CUST1635"/>
        <s v="CUST1636"/>
        <s v="CUST1637"/>
        <s v="CUST1638"/>
        <s v="CUST1639"/>
        <s v="CUST1640"/>
        <s v="CUST1641"/>
        <s v="CUST1642"/>
        <s v="CUST1643"/>
        <s v="CUST1644"/>
        <s v="CUST1645"/>
        <s v="CUST1646"/>
        <s v="CUST1647"/>
        <s v="CUST1648"/>
        <s v="CUST1649"/>
        <s v="CUST1650"/>
        <s v="CUST1651"/>
        <s v="CUST1652"/>
        <s v="CUST1653"/>
        <s v="CUST1654"/>
        <s v="CUST1655"/>
        <s v="CUST1656"/>
        <s v="CUST1657"/>
        <s v="CUST1658"/>
        <s v="CUST1659"/>
        <s v="CUST1660"/>
        <s v="CUST1661"/>
        <s v="CUST1662"/>
        <s v="CUST1663"/>
        <s v="CUST1664"/>
        <s v="CUST1665"/>
        <s v="CUST1666"/>
        <s v="CUST1667"/>
        <s v="CUST1668"/>
        <s v="CUST1669"/>
        <s v="CUST1670"/>
        <s v="CUST1671"/>
        <s v="CUST1672"/>
        <s v="CUST1673"/>
        <s v="CUST1674"/>
        <s v="CUST1675"/>
        <s v="CUST1676"/>
        <s v="CUST1677"/>
        <s v="CUST1678"/>
        <s v="CUST1679"/>
        <s v="CUST1680"/>
        <s v="CUST1681"/>
        <s v="CUST1682"/>
        <s v="CUST1683"/>
        <s v="CUST1684"/>
        <s v="CUST1685"/>
        <s v="CUST1686"/>
        <s v="CUST1687"/>
        <s v="CUST1688"/>
        <s v="CUST1689"/>
        <s v="CUST1690"/>
        <s v="CUST1691"/>
        <s v="CUST1692"/>
        <s v="CUST1693"/>
        <s v="CUST1694"/>
        <s v="CUST1695"/>
        <s v="CUST1696"/>
        <s v="CUST1697"/>
        <s v="CUST1698"/>
        <s v="CUST1699"/>
        <s v="CUST1700"/>
        <s v="CUST1701"/>
        <s v="CUST1702"/>
        <s v="CUST1703"/>
        <s v="CUST1704"/>
        <s v="CUST1705"/>
        <s v="CUST1706"/>
        <s v="CUST1707"/>
        <s v="CUST1708"/>
        <s v="CUST1709"/>
        <s v="CUST1710"/>
        <s v="CUST1711"/>
        <s v="CUST1712"/>
        <s v="CUST1713"/>
        <s v="CUST1714"/>
        <s v="CUST1715"/>
        <s v="CUST1716"/>
        <s v="CUST1717"/>
        <s v="CUST1718"/>
        <s v="CUST1719"/>
        <s v="CUST1720"/>
        <s v="CUST1721"/>
        <s v="CUST1722"/>
        <s v="CUST1723"/>
        <s v="CUST1724"/>
        <s v="CUST1725"/>
        <s v="CUST1726"/>
        <s v="CUST1727"/>
        <s v="CUST1728"/>
        <s v="CUST1729"/>
        <s v="CUST1730"/>
        <s v="CUST1731"/>
        <s v="CUST1732"/>
        <s v="CUST1733"/>
        <s v="CUST1734"/>
        <s v="CUST1735"/>
        <s v="CUST0439"/>
        <s v="CUST1737"/>
        <s v="CUST1738"/>
        <s v="CUST1739"/>
        <s v="CUST1740"/>
        <s v="CUST1741"/>
        <s v="CUST1742"/>
        <s v="CUST1743"/>
        <s v="CUST1744"/>
        <s v="CUST1745"/>
        <s v="CUST1746"/>
        <s v="CUST1747"/>
        <s v="CUST1748"/>
        <s v="CUST1749"/>
        <s v="CUST1750"/>
        <s v="CUST1751"/>
        <s v="CUST1752"/>
        <s v="CUST1753"/>
        <s v="CUST1754"/>
        <s v="CUST1755"/>
        <s v="CUST1756"/>
        <s v="CUST1757"/>
        <s v="CUST1758"/>
        <s v="CUST1759"/>
        <s v="CUST1760"/>
        <s v="CUST1761"/>
        <s v="CUST1762"/>
        <s v="CUST1763"/>
        <s v="CUST1764"/>
        <s v="CUST1765"/>
        <s v="CUST1766"/>
        <s v="CUST1767"/>
        <s v="CUST1768"/>
        <s v="CUST1769"/>
        <s v="CUST1770"/>
        <s v="CUST1771"/>
        <s v="CUST1772"/>
        <s v="CUST1773"/>
        <s v="CUST1774"/>
        <s v="CUST1775"/>
        <s v="CUST1776"/>
        <s v="CUST1777"/>
        <s v="CUST1778"/>
        <s v="CUST1779"/>
        <s v="CUST1780"/>
        <s v="CUST1781"/>
        <s v="CUST1782"/>
        <s v="CUST1783"/>
        <s v="CUST1784"/>
        <s v="CUST1785"/>
        <s v="CUST1786"/>
        <s v="CUST1787"/>
        <s v="CUST1788"/>
        <s v="CUST1789"/>
        <s v="CUST1790"/>
        <s v="CUST1791"/>
        <s v="CUST1792"/>
        <s v="CUST1793"/>
        <s v="CUST1794"/>
        <s v="CUST1795"/>
        <s v="CUST1796"/>
        <s v="CUST1797"/>
        <s v="CUST1798"/>
        <s v="CUST1799"/>
        <s v="CUST1800"/>
        <s v="CUST1801"/>
        <s v="CUST1802"/>
        <s v="CUST1803"/>
        <s v="CUST1804"/>
        <s v="CUST1805"/>
        <s v="CUST1806"/>
        <s v="CUST1807"/>
        <s v="CUST1808"/>
        <s v="CUST1809"/>
        <s v="CUST1810"/>
        <s v="CUST1811"/>
        <s v="CUST1812"/>
        <s v="CUST1813"/>
        <s v="CUST1814"/>
        <s v="CUST1815"/>
        <s v="CUST1816"/>
        <s v="CUST1817"/>
        <s v="CUST1818"/>
        <s v="CUST1819"/>
        <s v="CUST1820"/>
        <s v="CUST1821"/>
        <s v="CUST1822"/>
        <s v="CUST1823"/>
        <s v="CUST1824"/>
        <s v="CUST1825"/>
        <s v="CUST1826"/>
        <s v="CUST1827"/>
        <s v="CUST1828"/>
        <s v="CUST1829"/>
        <s v="CUST1830"/>
        <s v="CUST1831"/>
        <s v="CUST1832"/>
        <s v="CUST1833"/>
        <s v="CUST1834"/>
        <s v="CUST1835"/>
        <s v="CUST1836"/>
        <s v="CUST1837"/>
        <s v="CUST1838"/>
        <s v="CUST1839"/>
        <s v="CUST1840"/>
        <s v="CUST1841"/>
        <s v="CUST1842"/>
        <s v="CUST1843"/>
        <s v="CUST1844"/>
        <s v="CUST1845"/>
        <s v="CUST1846"/>
        <s v="CUST1847"/>
        <s v="CUST1848"/>
        <s v="CUST1849"/>
        <s v="CUST1850"/>
        <s v="CUST1851"/>
        <s v="CUST1852"/>
        <s v="CUST1853"/>
        <s v="CUST1854"/>
        <s v="CUST1855"/>
        <s v="CUST1856"/>
        <s v="CUST1857"/>
        <s v="CUST1858"/>
        <s v="CUST1859"/>
        <s v="CUST1860"/>
        <s v="CUST1861"/>
        <s v="CUST1862"/>
        <s v="CUST1863"/>
        <s v="CUST1864"/>
        <s v="CUST1865"/>
        <s v="CUST1866"/>
        <s v="CUST1867"/>
        <s v="CUST1868"/>
        <s v="CUST1869"/>
        <s v="CUST1870"/>
        <s v="CUST1871"/>
        <s v="CUST1872"/>
        <s v="CUST1873"/>
        <s v="CUST1874"/>
        <s v="CUST1875"/>
        <s v="CUST1876"/>
        <s v="CUST1877"/>
        <s v="CUST1878"/>
        <s v="CUST1879"/>
        <s v="CUST1880"/>
        <s v="CUST1881"/>
        <s v="CUST1882"/>
        <s v="CUST1883"/>
        <s v="CUST1884"/>
        <s v="CUST1885"/>
        <s v="CUST1886"/>
        <s v="CUST1887"/>
        <s v="CUST1888"/>
        <s v="CUST1889"/>
        <s v="CUST1890"/>
        <s v="CUST1891"/>
        <s v="CUST1892"/>
        <s v="CUST1893"/>
        <s v="CUST1894"/>
        <s v="CUST1895"/>
        <s v="CUST1896"/>
        <s v="CUST1897"/>
        <s v="CUST1898"/>
        <s v="CUST1899"/>
        <s v="CUST1900"/>
        <s v="CUST1901"/>
        <s v="CUST1902"/>
        <s v="CUST1903"/>
        <s v="CUST1904"/>
        <s v="CUST1905"/>
        <s v="CUST1906"/>
        <s v="CUST1907"/>
        <s v="CUST1908"/>
        <s v="CUST1909"/>
        <s v="CUST1910"/>
        <s v="CUST1911"/>
        <s v="CUST1912"/>
        <s v="CUST1913"/>
        <s v="CUST1914"/>
        <s v="CUST1915"/>
        <s v="CUST1916"/>
        <s v="CUST1917"/>
        <s v="CUST1918"/>
        <s v="CUST1919"/>
        <s v="CUST1920"/>
        <s v="CUST1921"/>
        <s v="CUST1922"/>
        <s v="CUST1923"/>
        <s v="CUST1924"/>
        <s v="CUST1925"/>
        <s v="CUST1926"/>
        <s v="CUST1927"/>
        <s v="CUST1928"/>
        <s v="CUST1929"/>
        <s v="CUST1930"/>
        <s v="CUST1931"/>
        <s v="CUST1932"/>
        <s v="CUST1933"/>
        <s v="CUST1934"/>
        <s v="CUST1935"/>
        <s v="CUST1936"/>
        <s v="CUST1937"/>
        <s v="CUST1938"/>
        <s v="CUST1939"/>
        <s v="CUST1940"/>
        <s v="CUST1941"/>
        <s v="CUST1942"/>
        <s v="CUST1943"/>
        <s v="CUST1944"/>
        <s v="CUST1945"/>
        <s v="CUST1946"/>
        <s v="CUST1947"/>
        <s v="CUST1948"/>
        <s v="CUST1949"/>
        <s v="CUST1950"/>
        <s v="CUST1951"/>
        <s v="CUST1952"/>
        <s v="CUST1953"/>
        <s v="CUST1954"/>
        <s v="CUST1955"/>
        <s v="CUST1956"/>
        <s v="CUST1957"/>
        <s v="CUST1958"/>
        <s v="CUST1959"/>
        <s v="CUST1960"/>
        <s v="CUST1961"/>
        <s v="CUST1962"/>
        <s v="CUST1963"/>
        <s v="CUST1964"/>
        <s v="CUST1965"/>
        <s v="CUST1966"/>
        <s v="CUST1967"/>
        <s v="CUST1968"/>
        <s v="CUST1969"/>
        <s v="CUST1970"/>
        <s v="CUST1971"/>
        <s v="CUST1972"/>
        <s v="CUST1973"/>
        <s v="CUST1974"/>
        <s v="CUST1975"/>
        <s v="CUST1976"/>
        <s v="CUST1977"/>
        <s v="CUST1978"/>
        <s v="CUST1979"/>
        <s v="CUST1980"/>
        <s v="CUST1981"/>
        <s v="CUST1982"/>
        <s v="CUST1983"/>
        <s v="CUST1984"/>
        <s v="CUST1985"/>
        <s v="CUST1986"/>
        <s v="CUST1987"/>
        <s v="CUST1988"/>
        <s v="CUST1989"/>
        <s v="CUST1990"/>
        <s v="CUST1991"/>
        <s v="CUST1992"/>
        <s v="CUST1993"/>
        <s v="CUST1994"/>
        <s v="CUST1995"/>
        <s v="CUST1996"/>
        <s v="CUST1997"/>
        <s v="CUST1998"/>
        <s v="CUST1999"/>
        <s v="CUST2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19"/>
        <n v="24"/>
        <n v="53"/>
        <n v="18"/>
        <n v="31"/>
        <n v="40"/>
        <n v="52"/>
        <n v="58"/>
        <n v="20"/>
        <n v="32"/>
        <n v="28"/>
        <n v="62"/>
        <n v="35"/>
        <n v="43"/>
        <n v="33"/>
        <n v="55"/>
        <n v="23"/>
        <n v="61"/>
        <n v="51"/>
        <n v="59"/>
        <n v="47"/>
        <n v="21"/>
        <n v="34"/>
        <n v="63"/>
        <n v="46"/>
        <n v="22"/>
        <n v="50"/>
        <n v="30"/>
        <n v="45"/>
        <n v="42"/>
        <n v="27"/>
        <n v="38"/>
        <n v="56"/>
        <n v="60"/>
        <n v="37"/>
        <n v="57"/>
        <n v="29"/>
        <n v="41"/>
        <n v="44"/>
        <n v="36"/>
        <n v="48"/>
        <n v="25"/>
        <n v="54"/>
        <n v="26"/>
        <n v="39"/>
        <n v="49"/>
        <n v="64"/>
      </sharedItems>
      <fieldGroup base="6">
        <rangePr startNum="18" endNum="64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Product Category" numFmtId="0">
      <sharedItems count="3">
        <s v="Electronics"/>
        <s v="Beauty"/>
        <s v="Clothing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Season" numFmtId="0">
      <sharedItems count="6">
        <s v="Festival/Winter"/>
        <s v="Summer/Holidays"/>
        <s v="Monsoon"/>
        <s v="Festiva/Winterl" u="1"/>
        <s v="Festival" u="1"/>
        <s v="Summer" u="1"/>
      </sharedItems>
    </cacheField>
    <cacheField name="Months (Date)" numFmtId="0" databaseField="0">
      <fieldGroup base="1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Years (Date)" numFmtId="0" databaseField="0">
      <fieldGroup base="1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19583965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x v="0"/>
    <x v="0"/>
    <x v="0"/>
    <x v="0"/>
    <x v="0"/>
    <x v="0"/>
    <x v="0"/>
    <n v="3"/>
    <n v="150"/>
    <n v="450"/>
    <x v="0"/>
  </r>
  <r>
    <n v="2"/>
    <x v="1"/>
    <x v="1"/>
    <x v="0"/>
    <x v="1"/>
    <x v="0"/>
    <x v="1"/>
    <x v="0"/>
    <n v="1"/>
    <n v="327"/>
    <n v="327"/>
    <x v="1"/>
  </r>
  <r>
    <n v="3"/>
    <x v="2"/>
    <x v="2"/>
    <x v="0"/>
    <x v="2"/>
    <x v="0"/>
    <x v="0"/>
    <x v="1"/>
    <n v="2"/>
    <n v="144"/>
    <n v="288"/>
    <x v="2"/>
  </r>
  <r>
    <n v="4"/>
    <x v="3"/>
    <x v="3"/>
    <x v="0"/>
    <x v="3"/>
    <x v="0"/>
    <x v="2"/>
    <x v="1"/>
    <n v="4"/>
    <n v="137"/>
    <n v="548"/>
    <x v="2"/>
  </r>
  <r>
    <n v="5"/>
    <x v="4"/>
    <x v="2"/>
    <x v="0"/>
    <x v="4"/>
    <x v="1"/>
    <x v="3"/>
    <x v="1"/>
    <n v="4"/>
    <n v="199"/>
    <n v="796"/>
    <x v="2"/>
  </r>
  <r>
    <n v="6"/>
    <x v="5"/>
    <x v="4"/>
    <x v="0"/>
    <x v="5"/>
    <x v="0"/>
    <x v="4"/>
    <x v="2"/>
    <n v="1"/>
    <n v="72"/>
    <n v="72"/>
    <x v="1"/>
  </r>
  <r>
    <n v="7"/>
    <x v="6"/>
    <x v="5"/>
    <x v="0"/>
    <x v="6"/>
    <x v="0"/>
    <x v="5"/>
    <x v="2"/>
    <n v="3"/>
    <n v="438"/>
    <n v="1314"/>
    <x v="2"/>
  </r>
  <r>
    <n v="8"/>
    <x v="7"/>
    <x v="6"/>
    <x v="0"/>
    <x v="7"/>
    <x v="1"/>
    <x v="6"/>
    <x v="1"/>
    <n v="4"/>
    <n v="65"/>
    <n v="260"/>
    <x v="0"/>
  </r>
  <r>
    <n v="9"/>
    <x v="8"/>
    <x v="7"/>
    <x v="0"/>
    <x v="8"/>
    <x v="1"/>
    <x v="7"/>
    <x v="0"/>
    <n v="3"/>
    <n v="320"/>
    <n v="960"/>
    <x v="2"/>
  </r>
  <r>
    <n v="10"/>
    <x v="9"/>
    <x v="1"/>
    <x v="0"/>
    <x v="9"/>
    <x v="0"/>
    <x v="8"/>
    <x v="0"/>
    <n v="2"/>
    <n v="420"/>
    <n v="840"/>
    <x v="1"/>
  </r>
  <r>
    <n v="11"/>
    <x v="10"/>
    <x v="4"/>
    <x v="0"/>
    <x v="10"/>
    <x v="0"/>
    <x v="9"/>
    <x v="1"/>
    <n v="4"/>
    <n v="167"/>
    <n v="668"/>
    <x v="1"/>
  </r>
  <r>
    <n v="12"/>
    <x v="11"/>
    <x v="2"/>
    <x v="0"/>
    <x v="11"/>
    <x v="1"/>
    <x v="10"/>
    <x v="2"/>
    <n v="3"/>
    <n v="132"/>
    <n v="396"/>
    <x v="2"/>
  </r>
  <r>
    <n v="13"/>
    <x v="12"/>
    <x v="8"/>
    <x v="0"/>
    <x v="12"/>
    <x v="1"/>
    <x v="11"/>
    <x v="0"/>
    <n v="1"/>
    <n v="336"/>
    <n v="336"/>
    <x v="0"/>
  </r>
  <r>
    <n v="14"/>
    <x v="13"/>
    <x v="0"/>
    <x v="0"/>
    <x v="13"/>
    <x v="0"/>
    <x v="6"/>
    <x v="0"/>
    <n v="2"/>
    <n v="108"/>
    <n v="216"/>
    <x v="0"/>
  </r>
  <r>
    <n v="15"/>
    <x v="14"/>
    <x v="2"/>
    <x v="0"/>
    <x v="14"/>
    <x v="1"/>
    <x v="12"/>
    <x v="0"/>
    <n v="2"/>
    <n v="375"/>
    <n v="750"/>
    <x v="2"/>
  </r>
  <r>
    <n v="16"/>
    <x v="15"/>
    <x v="9"/>
    <x v="0"/>
    <x v="15"/>
    <x v="0"/>
    <x v="9"/>
    <x v="1"/>
    <n v="3"/>
    <n v="230"/>
    <n v="690"/>
    <x v="1"/>
  </r>
  <r>
    <n v="17"/>
    <x v="16"/>
    <x v="4"/>
    <x v="0"/>
    <x v="16"/>
    <x v="0"/>
    <x v="4"/>
    <x v="0"/>
    <n v="3"/>
    <n v="133"/>
    <n v="399"/>
    <x v="1"/>
  </r>
  <r>
    <n v="18"/>
    <x v="17"/>
    <x v="8"/>
    <x v="0"/>
    <x v="17"/>
    <x v="1"/>
    <x v="13"/>
    <x v="0"/>
    <n v="4"/>
    <n v="98"/>
    <n v="392"/>
    <x v="0"/>
  </r>
  <r>
    <n v="19"/>
    <x v="18"/>
    <x v="4"/>
    <x v="0"/>
    <x v="18"/>
    <x v="0"/>
    <x v="14"/>
    <x v="0"/>
    <n v="3"/>
    <n v="407"/>
    <n v="1221"/>
    <x v="1"/>
  </r>
  <r>
    <n v="20"/>
    <x v="19"/>
    <x v="7"/>
    <x v="0"/>
    <x v="19"/>
    <x v="1"/>
    <x v="15"/>
    <x v="2"/>
    <n v="3"/>
    <n v="137"/>
    <n v="411"/>
    <x v="2"/>
  </r>
  <r>
    <n v="21"/>
    <x v="20"/>
    <x v="10"/>
    <x v="0"/>
    <x v="20"/>
    <x v="1"/>
    <x v="16"/>
    <x v="1"/>
    <n v="1"/>
    <n v="103"/>
    <n v="103"/>
    <x v="1"/>
  </r>
  <r>
    <n v="22"/>
    <x v="21"/>
    <x v="0"/>
    <x v="0"/>
    <x v="21"/>
    <x v="0"/>
    <x v="17"/>
    <x v="2"/>
    <n v="1"/>
    <n v="222"/>
    <n v="222"/>
    <x v="0"/>
  </r>
  <r>
    <n v="23"/>
    <x v="22"/>
    <x v="5"/>
    <x v="0"/>
    <x v="22"/>
    <x v="1"/>
    <x v="18"/>
    <x v="2"/>
    <n v="1"/>
    <n v="373"/>
    <n v="373"/>
    <x v="2"/>
  </r>
  <r>
    <n v="24"/>
    <x v="23"/>
    <x v="11"/>
    <x v="0"/>
    <x v="23"/>
    <x v="1"/>
    <x v="19"/>
    <x v="2"/>
    <n v="1"/>
    <n v="175"/>
    <n v="175"/>
    <x v="0"/>
  </r>
  <r>
    <n v="25"/>
    <x v="24"/>
    <x v="2"/>
    <x v="0"/>
    <x v="24"/>
    <x v="0"/>
    <x v="20"/>
    <x v="1"/>
    <n v="3"/>
    <n v="281"/>
    <n v="843"/>
    <x v="2"/>
  </r>
  <r>
    <n v="26"/>
    <x v="25"/>
    <x v="1"/>
    <x v="0"/>
    <x v="25"/>
    <x v="0"/>
    <x v="7"/>
    <x v="2"/>
    <n v="2"/>
    <n v="103"/>
    <n v="206"/>
    <x v="1"/>
  </r>
  <r>
    <n v="27"/>
    <x v="26"/>
    <x v="5"/>
    <x v="0"/>
    <x v="26"/>
    <x v="0"/>
    <x v="6"/>
    <x v="0"/>
    <n v="1"/>
    <n v="331"/>
    <n v="331"/>
    <x v="2"/>
  </r>
  <r>
    <n v="28"/>
    <x v="27"/>
    <x v="9"/>
    <x v="0"/>
    <x v="27"/>
    <x v="1"/>
    <x v="0"/>
    <x v="1"/>
    <n v="3"/>
    <n v="474"/>
    <n v="1422"/>
    <x v="1"/>
  </r>
  <r>
    <n v="29"/>
    <x v="28"/>
    <x v="9"/>
    <x v="0"/>
    <x v="28"/>
    <x v="0"/>
    <x v="21"/>
    <x v="1"/>
    <n v="1"/>
    <n v="68"/>
    <n v="68"/>
    <x v="1"/>
  </r>
  <r>
    <n v="30"/>
    <x v="29"/>
    <x v="3"/>
    <x v="0"/>
    <x v="29"/>
    <x v="0"/>
    <x v="6"/>
    <x v="1"/>
    <n v="2"/>
    <n v="362"/>
    <n v="724"/>
    <x v="2"/>
  </r>
  <r>
    <n v="31"/>
    <x v="30"/>
    <x v="3"/>
    <x v="0"/>
    <x v="30"/>
    <x v="0"/>
    <x v="22"/>
    <x v="0"/>
    <n v="4"/>
    <n v="133"/>
    <n v="532"/>
    <x v="2"/>
  </r>
  <r>
    <n v="32"/>
    <x v="31"/>
    <x v="7"/>
    <x v="0"/>
    <x v="31"/>
    <x v="0"/>
    <x v="23"/>
    <x v="2"/>
    <n v="4"/>
    <n v="368"/>
    <n v="1472"/>
    <x v="2"/>
  </r>
  <r>
    <n v="33"/>
    <x v="32"/>
    <x v="0"/>
    <x v="0"/>
    <x v="32"/>
    <x v="1"/>
    <x v="24"/>
    <x v="0"/>
    <n v="4"/>
    <n v="86"/>
    <n v="344"/>
    <x v="0"/>
  </r>
  <r>
    <n v="34"/>
    <x v="33"/>
    <x v="4"/>
    <x v="0"/>
    <x v="33"/>
    <x v="0"/>
    <x v="25"/>
    <x v="2"/>
    <n v="1"/>
    <n v="326"/>
    <n v="326"/>
    <x v="1"/>
  </r>
  <r>
    <n v="35"/>
    <x v="34"/>
    <x v="7"/>
    <x v="0"/>
    <x v="34"/>
    <x v="0"/>
    <x v="15"/>
    <x v="1"/>
    <n v="1"/>
    <n v="61"/>
    <n v="61"/>
    <x v="2"/>
  </r>
  <r>
    <n v="36"/>
    <x v="35"/>
    <x v="8"/>
    <x v="0"/>
    <x v="35"/>
    <x v="0"/>
    <x v="9"/>
    <x v="1"/>
    <n v="1"/>
    <n v="465"/>
    <n v="465"/>
    <x v="0"/>
  </r>
  <r>
    <n v="37"/>
    <x v="36"/>
    <x v="9"/>
    <x v="0"/>
    <x v="36"/>
    <x v="0"/>
    <x v="26"/>
    <x v="1"/>
    <n v="3"/>
    <n v="367"/>
    <n v="1101"/>
    <x v="1"/>
  </r>
  <r>
    <n v="38"/>
    <x v="29"/>
    <x v="3"/>
    <x v="0"/>
    <x v="37"/>
    <x v="0"/>
    <x v="6"/>
    <x v="1"/>
    <n v="4"/>
    <n v="149"/>
    <n v="596"/>
    <x v="2"/>
  </r>
  <r>
    <n v="39"/>
    <x v="37"/>
    <x v="2"/>
    <x v="0"/>
    <x v="38"/>
    <x v="1"/>
    <x v="27"/>
    <x v="1"/>
    <n v="1"/>
    <n v="362"/>
    <n v="362"/>
    <x v="2"/>
  </r>
  <r>
    <n v="40"/>
    <x v="38"/>
    <x v="2"/>
    <x v="0"/>
    <x v="39"/>
    <x v="1"/>
    <x v="28"/>
    <x v="2"/>
    <n v="4"/>
    <n v="467"/>
    <n v="1868"/>
    <x v="2"/>
  </r>
  <r>
    <n v="41"/>
    <x v="39"/>
    <x v="6"/>
    <x v="0"/>
    <x v="40"/>
    <x v="0"/>
    <x v="21"/>
    <x v="2"/>
    <n v="3"/>
    <n v="434"/>
    <n v="1302"/>
    <x v="0"/>
  </r>
  <r>
    <n v="42"/>
    <x v="40"/>
    <x v="11"/>
    <x v="0"/>
    <x v="41"/>
    <x v="0"/>
    <x v="27"/>
    <x v="1"/>
    <n v="4"/>
    <n v="96"/>
    <n v="384"/>
    <x v="0"/>
  </r>
  <r>
    <n v="43"/>
    <x v="2"/>
    <x v="2"/>
    <x v="0"/>
    <x v="42"/>
    <x v="0"/>
    <x v="12"/>
    <x v="2"/>
    <n v="2"/>
    <n v="472"/>
    <n v="944"/>
    <x v="2"/>
  </r>
  <r>
    <n v="44"/>
    <x v="41"/>
    <x v="11"/>
    <x v="0"/>
    <x v="43"/>
    <x v="1"/>
    <x v="2"/>
    <x v="1"/>
    <n v="1"/>
    <n v="358"/>
    <n v="358"/>
    <x v="0"/>
  </r>
  <r>
    <n v="45"/>
    <x v="31"/>
    <x v="7"/>
    <x v="0"/>
    <x v="44"/>
    <x v="0"/>
    <x v="16"/>
    <x v="1"/>
    <n v="2"/>
    <n v="233"/>
    <n v="466"/>
    <x v="2"/>
  </r>
  <r>
    <n v="46"/>
    <x v="29"/>
    <x v="3"/>
    <x v="0"/>
    <x v="45"/>
    <x v="1"/>
    <x v="4"/>
    <x v="2"/>
    <n v="1"/>
    <n v="109"/>
    <n v="109"/>
    <x v="2"/>
  </r>
  <r>
    <n v="47"/>
    <x v="6"/>
    <x v="5"/>
    <x v="0"/>
    <x v="46"/>
    <x v="0"/>
    <x v="29"/>
    <x v="2"/>
    <n v="4"/>
    <n v="171"/>
    <n v="684"/>
    <x v="2"/>
  </r>
  <r>
    <n v="48"/>
    <x v="2"/>
    <x v="2"/>
    <x v="0"/>
    <x v="47"/>
    <x v="1"/>
    <x v="30"/>
    <x v="1"/>
    <n v="3"/>
    <n v="136"/>
    <n v="408"/>
    <x v="2"/>
  </r>
  <r>
    <n v="49"/>
    <x v="42"/>
    <x v="6"/>
    <x v="0"/>
    <x v="48"/>
    <x v="0"/>
    <x v="31"/>
    <x v="1"/>
    <n v="1"/>
    <n v="324"/>
    <n v="324"/>
    <x v="0"/>
  </r>
  <r>
    <n v="50"/>
    <x v="43"/>
    <x v="3"/>
    <x v="0"/>
    <x v="49"/>
    <x v="0"/>
    <x v="21"/>
    <x v="0"/>
    <n v="1"/>
    <n v="460"/>
    <n v="460"/>
    <x v="2"/>
  </r>
  <r>
    <n v="51"/>
    <x v="44"/>
    <x v="1"/>
    <x v="0"/>
    <x v="50"/>
    <x v="0"/>
    <x v="32"/>
    <x v="1"/>
    <n v="2"/>
    <n v="231"/>
    <n v="462"/>
    <x v="1"/>
  </r>
  <r>
    <n v="52"/>
    <x v="45"/>
    <x v="10"/>
    <x v="0"/>
    <x v="51"/>
    <x v="0"/>
    <x v="15"/>
    <x v="0"/>
    <n v="1"/>
    <n v="342"/>
    <n v="342"/>
    <x v="1"/>
  </r>
  <r>
    <n v="53"/>
    <x v="46"/>
    <x v="11"/>
    <x v="0"/>
    <x v="52"/>
    <x v="1"/>
    <x v="33"/>
    <x v="0"/>
    <n v="3"/>
    <n v="158"/>
    <n v="474"/>
    <x v="0"/>
  </r>
  <r>
    <n v="54"/>
    <x v="47"/>
    <x v="1"/>
    <x v="0"/>
    <x v="53"/>
    <x v="1"/>
    <x v="14"/>
    <x v="2"/>
    <n v="4"/>
    <n v="92"/>
    <n v="368"/>
    <x v="1"/>
  </r>
  <r>
    <n v="55"/>
    <x v="12"/>
    <x v="8"/>
    <x v="0"/>
    <x v="54"/>
    <x v="1"/>
    <x v="20"/>
    <x v="2"/>
    <n v="1"/>
    <n v="29"/>
    <n v="29"/>
    <x v="0"/>
  </r>
  <r>
    <n v="56"/>
    <x v="48"/>
    <x v="2"/>
    <x v="0"/>
    <x v="55"/>
    <x v="0"/>
    <x v="25"/>
    <x v="0"/>
    <n v="2"/>
    <n v="284"/>
    <n v="568"/>
    <x v="2"/>
  </r>
  <r>
    <n v="57"/>
    <x v="18"/>
    <x v="4"/>
    <x v="0"/>
    <x v="56"/>
    <x v="0"/>
    <x v="5"/>
    <x v="1"/>
    <n v="2"/>
    <n v="214"/>
    <n v="428"/>
    <x v="1"/>
  </r>
  <r>
    <n v="58"/>
    <x v="49"/>
    <x v="4"/>
    <x v="0"/>
    <x v="57"/>
    <x v="0"/>
    <x v="24"/>
    <x v="0"/>
    <n v="3"/>
    <n v="338"/>
    <n v="1014"/>
    <x v="1"/>
  </r>
  <r>
    <n v="59"/>
    <x v="50"/>
    <x v="8"/>
    <x v="0"/>
    <x v="58"/>
    <x v="0"/>
    <x v="33"/>
    <x v="0"/>
    <n v="3"/>
    <n v="364"/>
    <n v="1092"/>
    <x v="0"/>
  </r>
  <r>
    <n v="60"/>
    <x v="51"/>
    <x v="11"/>
    <x v="0"/>
    <x v="59"/>
    <x v="0"/>
    <x v="22"/>
    <x v="1"/>
    <n v="1"/>
    <n v="405"/>
    <n v="405"/>
    <x v="0"/>
  </r>
  <r>
    <n v="61"/>
    <x v="34"/>
    <x v="7"/>
    <x v="0"/>
    <x v="60"/>
    <x v="0"/>
    <x v="12"/>
    <x v="2"/>
    <n v="2"/>
    <n v="392"/>
    <n v="784"/>
    <x v="2"/>
  </r>
  <r>
    <n v="62"/>
    <x v="52"/>
    <x v="9"/>
    <x v="0"/>
    <x v="61"/>
    <x v="0"/>
    <x v="17"/>
    <x v="0"/>
    <n v="3"/>
    <n v="283"/>
    <n v="849"/>
    <x v="1"/>
  </r>
  <r>
    <n v="63"/>
    <x v="53"/>
    <x v="3"/>
    <x v="0"/>
    <x v="62"/>
    <x v="1"/>
    <x v="21"/>
    <x v="1"/>
    <n v="4"/>
    <n v="449"/>
    <n v="1796"/>
    <x v="2"/>
  </r>
  <r>
    <n v="64"/>
    <x v="54"/>
    <x v="4"/>
    <x v="0"/>
    <x v="63"/>
    <x v="0"/>
    <x v="3"/>
    <x v="2"/>
    <n v="2"/>
    <n v="351"/>
    <n v="702"/>
    <x v="1"/>
  </r>
  <r>
    <n v="65"/>
    <x v="55"/>
    <x v="4"/>
    <x v="0"/>
    <x v="64"/>
    <x v="0"/>
    <x v="24"/>
    <x v="0"/>
    <n v="4"/>
    <n v="312"/>
    <n v="1248"/>
    <x v="1"/>
  </r>
  <r>
    <n v="66"/>
    <x v="56"/>
    <x v="6"/>
    <x v="0"/>
    <x v="65"/>
    <x v="0"/>
    <x v="25"/>
    <x v="0"/>
    <n v="2"/>
    <n v="304"/>
    <n v="608"/>
    <x v="0"/>
  </r>
  <r>
    <n v="67"/>
    <x v="57"/>
    <x v="6"/>
    <x v="0"/>
    <x v="66"/>
    <x v="1"/>
    <x v="15"/>
    <x v="0"/>
    <n v="2"/>
    <n v="245"/>
    <n v="490"/>
    <x v="0"/>
  </r>
  <r>
    <n v="68"/>
    <x v="58"/>
    <x v="10"/>
    <x v="0"/>
    <x v="67"/>
    <x v="0"/>
    <x v="34"/>
    <x v="2"/>
    <n v="1"/>
    <n v="485"/>
    <n v="485"/>
    <x v="1"/>
  </r>
  <r>
    <n v="69"/>
    <x v="59"/>
    <x v="5"/>
    <x v="0"/>
    <x v="68"/>
    <x v="0"/>
    <x v="17"/>
    <x v="1"/>
    <n v="1"/>
    <n v="206"/>
    <n v="206"/>
    <x v="2"/>
  </r>
  <r>
    <n v="70"/>
    <x v="60"/>
    <x v="7"/>
    <x v="0"/>
    <x v="69"/>
    <x v="1"/>
    <x v="35"/>
    <x v="0"/>
    <n v="2"/>
    <n v="498"/>
    <n v="996"/>
    <x v="2"/>
  </r>
  <r>
    <n v="71"/>
    <x v="61"/>
    <x v="4"/>
    <x v="0"/>
    <x v="70"/>
    <x v="0"/>
    <x v="36"/>
    <x v="2"/>
    <n v="1"/>
    <n v="116"/>
    <n v="116"/>
    <x v="1"/>
  </r>
  <r>
    <n v="72"/>
    <x v="62"/>
    <x v="9"/>
    <x v="0"/>
    <x v="71"/>
    <x v="1"/>
    <x v="33"/>
    <x v="0"/>
    <n v="2"/>
    <n v="161"/>
    <n v="322"/>
    <x v="1"/>
  </r>
  <r>
    <n v="73"/>
    <x v="63"/>
    <x v="10"/>
    <x v="0"/>
    <x v="72"/>
    <x v="0"/>
    <x v="29"/>
    <x v="1"/>
    <n v="4"/>
    <n v="138"/>
    <n v="552"/>
    <x v="1"/>
  </r>
  <r>
    <n v="74"/>
    <x v="64"/>
    <x v="1"/>
    <x v="0"/>
    <x v="73"/>
    <x v="1"/>
    <x v="5"/>
    <x v="2"/>
    <n v="2"/>
    <n v="139"/>
    <n v="278"/>
    <x v="1"/>
  </r>
  <r>
    <n v="75"/>
    <x v="65"/>
    <x v="6"/>
    <x v="0"/>
    <x v="74"/>
    <x v="0"/>
    <x v="13"/>
    <x v="2"/>
    <n v="3"/>
    <n v="467"/>
    <n v="1401"/>
    <x v="0"/>
  </r>
  <r>
    <n v="76"/>
    <x v="66"/>
    <x v="11"/>
    <x v="0"/>
    <x v="75"/>
    <x v="1"/>
    <x v="5"/>
    <x v="0"/>
    <n v="4"/>
    <n v="372"/>
    <n v="1488"/>
    <x v="0"/>
  </r>
  <r>
    <n v="77"/>
    <x v="67"/>
    <x v="7"/>
    <x v="0"/>
    <x v="76"/>
    <x v="1"/>
    <x v="0"/>
    <x v="1"/>
    <n v="3"/>
    <n v="116"/>
    <n v="348"/>
    <x v="2"/>
  </r>
  <r>
    <n v="78"/>
    <x v="68"/>
    <x v="7"/>
    <x v="0"/>
    <x v="77"/>
    <x v="1"/>
    <x v="8"/>
    <x v="1"/>
    <n v="4"/>
    <n v="201"/>
    <n v="804"/>
    <x v="2"/>
  </r>
  <r>
    <n v="79"/>
    <x v="69"/>
    <x v="9"/>
    <x v="0"/>
    <x v="78"/>
    <x v="1"/>
    <x v="32"/>
    <x v="0"/>
    <n v="1"/>
    <n v="222"/>
    <n v="222"/>
    <x v="1"/>
  </r>
  <r>
    <n v="80"/>
    <x v="70"/>
    <x v="7"/>
    <x v="0"/>
    <x v="79"/>
    <x v="0"/>
    <x v="22"/>
    <x v="1"/>
    <n v="4"/>
    <n v="25"/>
    <n v="100"/>
    <x v="2"/>
  </r>
  <r>
    <n v="81"/>
    <x v="71"/>
    <x v="3"/>
    <x v="0"/>
    <x v="80"/>
    <x v="0"/>
    <x v="37"/>
    <x v="2"/>
    <n v="1"/>
    <n v="365"/>
    <n v="365"/>
    <x v="2"/>
  </r>
  <r>
    <n v="82"/>
    <x v="36"/>
    <x v="9"/>
    <x v="0"/>
    <x v="81"/>
    <x v="1"/>
    <x v="33"/>
    <x v="1"/>
    <n v="3"/>
    <n v="284"/>
    <n v="852"/>
    <x v="1"/>
  </r>
  <r>
    <n v="83"/>
    <x v="72"/>
    <x v="9"/>
    <x v="0"/>
    <x v="82"/>
    <x v="1"/>
    <x v="31"/>
    <x v="2"/>
    <n v="3"/>
    <n v="308"/>
    <n v="924"/>
    <x v="1"/>
  </r>
  <r>
    <n v="84"/>
    <x v="58"/>
    <x v="10"/>
    <x v="0"/>
    <x v="83"/>
    <x v="0"/>
    <x v="38"/>
    <x v="0"/>
    <n v="4"/>
    <n v="371"/>
    <n v="1484"/>
    <x v="1"/>
  </r>
  <r>
    <n v="85"/>
    <x v="73"/>
    <x v="10"/>
    <x v="0"/>
    <x v="84"/>
    <x v="1"/>
    <x v="13"/>
    <x v="0"/>
    <n v="1"/>
    <n v="180"/>
    <n v="180"/>
    <x v="1"/>
  </r>
  <r>
    <n v="86"/>
    <x v="74"/>
    <x v="4"/>
    <x v="0"/>
    <x v="85"/>
    <x v="0"/>
    <x v="28"/>
    <x v="0"/>
    <n v="3"/>
    <n v="263"/>
    <n v="789"/>
    <x v="1"/>
  </r>
  <r>
    <n v="87"/>
    <x v="75"/>
    <x v="2"/>
    <x v="0"/>
    <x v="86"/>
    <x v="1"/>
    <x v="17"/>
    <x v="1"/>
    <n v="4"/>
    <n v="431"/>
    <n v="1724"/>
    <x v="2"/>
  </r>
  <r>
    <n v="88"/>
    <x v="76"/>
    <x v="10"/>
    <x v="0"/>
    <x v="87"/>
    <x v="0"/>
    <x v="39"/>
    <x v="0"/>
    <n v="3"/>
    <n v="72"/>
    <n v="216"/>
    <x v="1"/>
  </r>
  <r>
    <n v="89"/>
    <x v="77"/>
    <x v="4"/>
    <x v="0"/>
    <x v="88"/>
    <x v="1"/>
    <x v="9"/>
    <x v="1"/>
    <n v="2"/>
    <n v="37"/>
    <n v="74"/>
    <x v="1"/>
  </r>
  <r>
    <n v="90"/>
    <x v="78"/>
    <x v="6"/>
    <x v="0"/>
    <x v="89"/>
    <x v="0"/>
    <x v="40"/>
    <x v="0"/>
    <n v="1"/>
    <n v="258"/>
    <n v="258"/>
    <x v="0"/>
  </r>
  <r>
    <n v="91"/>
    <x v="79"/>
    <x v="2"/>
    <x v="0"/>
    <x v="90"/>
    <x v="0"/>
    <x v="23"/>
    <x v="0"/>
    <n v="4"/>
    <n v="278"/>
    <n v="1112"/>
    <x v="2"/>
  </r>
  <r>
    <n v="92"/>
    <x v="80"/>
    <x v="5"/>
    <x v="0"/>
    <x v="91"/>
    <x v="0"/>
    <x v="30"/>
    <x v="0"/>
    <n v="1"/>
    <n v="482"/>
    <n v="482"/>
    <x v="2"/>
  </r>
  <r>
    <n v="93"/>
    <x v="81"/>
    <x v="11"/>
    <x v="0"/>
    <x v="92"/>
    <x v="1"/>
    <x v="9"/>
    <x v="1"/>
    <n v="4"/>
    <n v="50"/>
    <n v="200"/>
    <x v="0"/>
  </r>
  <r>
    <n v="94"/>
    <x v="82"/>
    <x v="7"/>
    <x v="0"/>
    <x v="93"/>
    <x v="0"/>
    <x v="41"/>
    <x v="2"/>
    <n v="2"/>
    <n v="435"/>
    <n v="870"/>
    <x v="2"/>
  </r>
  <r>
    <n v="95"/>
    <x v="83"/>
    <x v="2"/>
    <x v="0"/>
    <x v="94"/>
    <x v="1"/>
    <x v="24"/>
    <x v="0"/>
    <n v="4"/>
    <n v="450"/>
    <n v="1800"/>
    <x v="2"/>
  </r>
  <r>
    <n v="96"/>
    <x v="84"/>
    <x v="7"/>
    <x v="0"/>
    <x v="95"/>
    <x v="1"/>
    <x v="10"/>
    <x v="0"/>
    <n v="4"/>
    <n v="255"/>
    <n v="1020"/>
    <x v="2"/>
  </r>
  <r>
    <n v="97"/>
    <x v="85"/>
    <x v="4"/>
    <x v="0"/>
    <x v="96"/>
    <x v="0"/>
    <x v="7"/>
    <x v="2"/>
    <n v="4"/>
    <n v="345"/>
    <n v="1380"/>
    <x v="1"/>
  </r>
  <r>
    <n v="98"/>
    <x v="86"/>
    <x v="4"/>
    <x v="0"/>
    <x v="97"/>
    <x v="1"/>
    <x v="24"/>
    <x v="1"/>
    <n v="3"/>
    <n v="145"/>
    <n v="435"/>
    <x v="1"/>
  </r>
  <r>
    <n v="99"/>
    <x v="87"/>
    <x v="4"/>
    <x v="0"/>
    <x v="98"/>
    <x v="1"/>
    <x v="31"/>
    <x v="0"/>
    <n v="1"/>
    <n v="95"/>
    <n v="95"/>
    <x v="1"/>
  </r>
  <r>
    <n v="100"/>
    <x v="88"/>
    <x v="10"/>
    <x v="0"/>
    <x v="99"/>
    <x v="0"/>
    <x v="29"/>
    <x v="0"/>
    <n v="2"/>
    <n v="386"/>
    <n v="772"/>
    <x v="1"/>
  </r>
  <r>
    <n v="101"/>
    <x v="89"/>
    <x v="1"/>
    <x v="0"/>
    <x v="100"/>
    <x v="0"/>
    <x v="38"/>
    <x v="2"/>
    <n v="3"/>
    <n v="302"/>
    <n v="906"/>
    <x v="1"/>
  </r>
  <r>
    <n v="102"/>
    <x v="90"/>
    <x v="2"/>
    <x v="0"/>
    <x v="101"/>
    <x v="1"/>
    <x v="21"/>
    <x v="1"/>
    <n v="4"/>
    <n v="224"/>
    <n v="896"/>
    <x v="2"/>
  </r>
  <r>
    <n v="103"/>
    <x v="19"/>
    <x v="7"/>
    <x v="0"/>
    <x v="102"/>
    <x v="0"/>
    <x v="42"/>
    <x v="2"/>
    <n v="4"/>
    <n v="28"/>
    <n v="112"/>
    <x v="2"/>
  </r>
  <r>
    <n v="104"/>
    <x v="91"/>
    <x v="9"/>
    <x v="0"/>
    <x v="103"/>
    <x v="1"/>
    <x v="29"/>
    <x v="2"/>
    <n v="2"/>
    <n v="274"/>
    <n v="548"/>
    <x v="1"/>
  </r>
  <r>
    <n v="105"/>
    <x v="92"/>
    <x v="1"/>
    <x v="0"/>
    <x v="104"/>
    <x v="1"/>
    <x v="28"/>
    <x v="2"/>
    <n v="1"/>
    <n v="224"/>
    <n v="224"/>
    <x v="1"/>
  </r>
  <r>
    <n v="989"/>
    <x v="93"/>
    <x v="11"/>
    <x v="0"/>
    <x v="105"/>
    <x v="0"/>
    <x v="4"/>
    <x v="0"/>
    <n v="4"/>
    <n v="500"/>
    <n v="2000"/>
    <x v="0"/>
  </r>
  <r>
    <n v="107"/>
    <x v="58"/>
    <x v="10"/>
    <x v="0"/>
    <x v="106"/>
    <x v="0"/>
    <x v="13"/>
    <x v="0"/>
    <n v="1"/>
    <n v="67"/>
    <n v="67"/>
    <x v="1"/>
  </r>
  <r>
    <n v="108"/>
    <x v="94"/>
    <x v="0"/>
    <x v="0"/>
    <x v="107"/>
    <x v="1"/>
    <x v="43"/>
    <x v="2"/>
    <n v="2"/>
    <n v="50"/>
    <n v="100"/>
    <x v="0"/>
  </r>
  <r>
    <n v="109"/>
    <x v="95"/>
    <x v="4"/>
    <x v="0"/>
    <x v="108"/>
    <x v="1"/>
    <x v="31"/>
    <x v="1"/>
    <n v="4"/>
    <n v="192"/>
    <n v="768"/>
    <x v="1"/>
  </r>
  <r>
    <n v="110"/>
    <x v="96"/>
    <x v="9"/>
    <x v="0"/>
    <x v="109"/>
    <x v="1"/>
    <x v="12"/>
    <x v="2"/>
    <n v="3"/>
    <n v="452"/>
    <n v="1356"/>
    <x v="1"/>
  </r>
  <r>
    <n v="111"/>
    <x v="46"/>
    <x v="11"/>
    <x v="0"/>
    <x v="110"/>
    <x v="1"/>
    <x v="0"/>
    <x v="0"/>
    <n v="1"/>
    <n v="204"/>
    <n v="204"/>
    <x v="0"/>
  </r>
  <r>
    <n v="112"/>
    <x v="1"/>
    <x v="1"/>
    <x v="0"/>
    <x v="111"/>
    <x v="0"/>
    <x v="19"/>
    <x v="1"/>
    <n v="1"/>
    <n v="151"/>
    <n v="151"/>
    <x v="1"/>
  </r>
  <r>
    <n v="113"/>
    <x v="64"/>
    <x v="1"/>
    <x v="0"/>
    <x v="112"/>
    <x v="0"/>
    <x v="35"/>
    <x v="1"/>
    <n v="2"/>
    <n v="89"/>
    <n v="178"/>
    <x v="1"/>
  </r>
  <r>
    <n v="114"/>
    <x v="37"/>
    <x v="2"/>
    <x v="0"/>
    <x v="113"/>
    <x v="0"/>
    <x v="42"/>
    <x v="1"/>
    <n v="4"/>
    <n v="383"/>
    <n v="1532"/>
    <x v="2"/>
  </r>
  <r>
    <n v="115"/>
    <x v="97"/>
    <x v="4"/>
    <x v="0"/>
    <x v="114"/>
    <x v="1"/>
    <x v="10"/>
    <x v="0"/>
    <n v="1"/>
    <n v="423"/>
    <n v="423"/>
    <x v="1"/>
  </r>
  <r>
    <n v="116"/>
    <x v="98"/>
    <x v="10"/>
    <x v="0"/>
    <x v="115"/>
    <x v="1"/>
    <x v="1"/>
    <x v="0"/>
    <n v="1"/>
    <n v="500"/>
    <n v="500"/>
    <x v="1"/>
  </r>
  <r>
    <n v="117"/>
    <x v="99"/>
    <x v="9"/>
    <x v="0"/>
    <x v="116"/>
    <x v="1"/>
    <x v="13"/>
    <x v="0"/>
    <n v="2"/>
    <n v="63"/>
    <n v="126"/>
    <x v="1"/>
  </r>
  <r>
    <n v="118"/>
    <x v="100"/>
    <x v="7"/>
    <x v="0"/>
    <x v="117"/>
    <x v="0"/>
    <x v="1"/>
    <x v="0"/>
    <n v="3"/>
    <n v="460"/>
    <n v="1380"/>
    <x v="2"/>
  </r>
  <r>
    <n v="119"/>
    <x v="101"/>
    <x v="8"/>
    <x v="0"/>
    <x v="118"/>
    <x v="0"/>
    <x v="42"/>
    <x v="1"/>
    <n v="3"/>
    <n v="297"/>
    <n v="891"/>
    <x v="0"/>
  </r>
  <r>
    <n v="120"/>
    <x v="102"/>
    <x v="2"/>
    <x v="0"/>
    <x v="119"/>
    <x v="1"/>
    <x v="25"/>
    <x v="0"/>
    <n v="3"/>
    <n v="31"/>
    <n v="93"/>
    <x v="2"/>
  </r>
  <r>
    <n v="121"/>
    <x v="103"/>
    <x v="2"/>
    <x v="0"/>
    <x v="120"/>
    <x v="1"/>
    <x v="1"/>
    <x v="2"/>
    <n v="3"/>
    <n v="350"/>
    <n v="1050"/>
    <x v="2"/>
  </r>
  <r>
    <n v="122"/>
    <x v="104"/>
    <x v="2"/>
    <x v="0"/>
    <x v="121"/>
    <x v="0"/>
    <x v="28"/>
    <x v="1"/>
    <n v="3"/>
    <n v="340"/>
    <n v="1020"/>
    <x v="2"/>
  </r>
  <r>
    <n v="123"/>
    <x v="105"/>
    <x v="7"/>
    <x v="0"/>
    <x v="122"/>
    <x v="1"/>
    <x v="20"/>
    <x v="2"/>
    <n v="3"/>
    <n v="190"/>
    <n v="570"/>
    <x v="2"/>
  </r>
  <r>
    <n v="124"/>
    <x v="106"/>
    <x v="4"/>
    <x v="0"/>
    <x v="123"/>
    <x v="0"/>
    <x v="12"/>
    <x v="2"/>
    <n v="2"/>
    <n v="409"/>
    <n v="818"/>
    <x v="1"/>
  </r>
  <r>
    <n v="125"/>
    <x v="83"/>
    <x v="2"/>
    <x v="0"/>
    <x v="124"/>
    <x v="1"/>
    <x v="44"/>
    <x v="1"/>
    <n v="4"/>
    <n v="460"/>
    <n v="1840"/>
    <x v="2"/>
  </r>
  <r>
    <n v="126"/>
    <x v="15"/>
    <x v="9"/>
    <x v="0"/>
    <x v="125"/>
    <x v="0"/>
    <x v="45"/>
    <x v="1"/>
    <n v="3"/>
    <n v="433"/>
    <n v="1299"/>
    <x v="1"/>
  </r>
  <r>
    <n v="127"/>
    <x v="85"/>
    <x v="4"/>
    <x v="0"/>
    <x v="126"/>
    <x v="1"/>
    <x v="12"/>
    <x v="0"/>
    <n v="3"/>
    <n v="309"/>
    <n v="927"/>
    <x v="1"/>
  </r>
  <r>
    <n v="128"/>
    <x v="107"/>
    <x v="6"/>
    <x v="0"/>
    <x v="127"/>
    <x v="0"/>
    <x v="16"/>
    <x v="1"/>
    <n v="4"/>
    <n v="275"/>
    <n v="1100"/>
    <x v="0"/>
  </r>
  <r>
    <n v="129"/>
    <x v="108"/>
    <x v="7"/>
    <x v="0"/>
    <x v="128"/>
    <x v="0"/>
    <x v="11"/>
    <x v="2"/>
    <n v="4"/>
    <n v="254"/>
    <n v="1016"/>
    <x v="2"/>
  </r>
  <r>
    <n v="130"/>
    <x v="109"/>
    <x v="6"/>
    <x v="0"/>
    <x v="129"/>
    <x v="0"/>
    <x v="39"/>
    <x v="1"/>
    <n v="4"/>
    <n v="379"/>
    <n v="1516"/>
    <x v="0"/>
  </r>
  <r>
    <n v="131"/>
    <x v="110"/>
    <x v="4"/>
    <x v="0"/>
    <x v="130"/>
    <x v="1"/>
    <x v="33"/>
    <x v="0"/>
    <n v="3"/>
    <n v="267"/>
    <n v="801"/>
    <x v="1"/>
  </r>
  <r>
    <n v="132"/>
    <x v="34"/>
    <x v="7"/>
    <x v="0"/>
    <x v="131"/>
    <x v="1"/>
    <x v="28"/>
    <x v="0"/>
    <n v="3"/>
    <n v="205"/>
    <n v="615"/>
    <x v="2"/>
  </r>
  <r>
    <n v="133"/>
    <x v="111"/>
    <x v="8"/>
    <x v="0"/>
    <x v="132"/>
    <x v="1"/>
    <x v="12"/>
    <x v="2"/>
    <n v="3"/>
    <n v="143"/>
    <n v="429"/>
    <x v="0"/>
  </r>
  <r>
    <n v="134"/>
    <x v="45"/>
    <x v="10"/>
    <x v="0"/>
    <x v="133"/>
    <x v="0"/>
    <x v="31"/>
    <x v="1"/>
    <n v="2"/>
    <n v="123"/>
    <n v="246"/>
    <x v="1"/>
  </r>
  <r>
    <n v="135"/>
    <x v="112"/>
    <x v="1"/>
    <x v="0"/>
    <x v="134"/>
    <x v="1"/>
    <x v="12"/>
    <x v="0"/>
    <n v="3"/>
    <n v="76"/>
    <n v="228"/>
    <x v="1"/>
  </r>
  <r>
    <n v="136"/>
    <x v="113"/>
    <x v="1"/>
    <x v="0"/>
    <x v="135"/>
    <x v="1"/>
    <x v="9"/>
    <x v="2"/>
    <n v="2"/>
    <n v="179"/>
    <n v="358"/>
    <x v="1"/>
  </r>
  <r>
    <n v="137"/>
    <x v="114"/>
    <x v="6"/>
    <x v="0"/>
    <x v="136"/>
    <x v="0"/>
    <x v="12"/>
    <x v="1"/>
    <n v="1"/>
    <n v="308"/>
    <n v="308"/>
    <x v="0"/>
  </r>
  <r>
    <n v="138"/>
    <x v="115"/>
    <x v="4"/>
    <x v="0"/>
    <x v="137"/>
    <x v="0"/>
    <x v="7"/>
    <x v="2"/>
    <n v="1"/>
    <n v="471"/>
    <n v="471"/>
    <x v="1"/>
  </r>
  <r>
    <n v="139"/>
    <x v="116"/>
    <x v="6"/>
    <x v="0"/>
    <x v="138"/>
    <x v="1"/>
    <x v="40"/>
    <x v="2"/>
    <n v="4"/>
    <n v="199"/>
    <n v="796"/>
    <x v="0"/>
  </r>
  <r>
    <n v="140"/>
    <x v="117"/>
    <x v="1"/>
    <x v="0"/>
    <x v="139"/>
    <x v="0"/>
    <x v="22"/>
    <x v="2"/>
    <n v="1"/>
    <n v="445"/>
    <n v="445"/>
    <x v="1"/>
  </r>
  <r>
    <n v="141"/>
    <x v="118"/>
    <x v="11"/>
    <x v="0"/>
    <x v="140"/>
    <x v="1"/>
    <x v="45"/>
    <x v="1"/>
    <n v="1"/>
    <n v="102"/>
    <n v="102"/>
    <x v="0"/>
  </r>
  <r>
    <n v="142"/>
    <x v="119"/>
    <x v="10"/>
    <x v="0"/>
    <x v="141"/>
    <x v="1"/>
    <x v="16"/>
    <x v="1"/>
    <n v="1"/>
    <n v="310"/>
    <n v="310"/>
    <x v="1"/>
  </r>
  <r>
    <n v="143"/>
    <x v="120"/>
    <x v="2"/>
    <x v="0"/>
    <x v="142"/>
    <x v="0"/>
    <x v="18"/>
    <x v="2"/>
    <n v="4"/>
    <n v="490"/>
    <n v="1960"/>
    <x v="2"/>
  </r>
  <r>
    <n v="144"/>
    <x v="75"/>
    <x v="2"/>
    <x v="0"/>
    <x v="143"/>
    <x v="1"/>
    <x v="15"/>
    <x v="2"/>
    <n v="3"/>
    <n v="316"/>
    <n v="948"/>
    <x v="2"/>
  </r>
  <r>
    <n v="145"/>
    <x v="121"/>
    <x v="0"/>
    <x v="0"/>
    <x v="144"/>
    <x v="0"/>
    <x v="35"/>
    <x v="0"/>
    <n v="1"/>
    <n v="415"/>
    <n v="415"/>
    <x v="0"/>
  </r>
  <r>
    <n v="146"/>
    <x v="122"/>
    <x v="1"/>
    <x v="0"/>
    <x v="145"/>
    <x v="0"/>
    <x v="22"/>
    <x v="0"/>
    <n v="1"/>
    <n v="105"/>
    <n v="105"/>
    <x v="1"/>
  </r>
  <r>
    <n v="147"/>
    <x v="86"/>
    <x v="4"/>
    <x v="0"/>
    <x v="146"/>
    <x v="0"/>
    <x v="2"/>
    <x v="1"/>
    <n v="2"/>
    <n v="26"/>
    <n v="52"/>
    <x v="1"/>
  </r>
  <r>
    <n v="148"/>
    <x v="123"/>
    <x v="5"/>
    <x v="0"/>
    <x v="147"/>
    <x v="1"/>
    <x v="11"/>
    <x v="0"/>
    <n v="4"/>
    <n v="174"/>
    <n v="696"/>
    <x v="2"/>
  </r>
  <r>
    <n v="149"/>
    <x v="124"/>
    <x v="6"/>
    <x v="0"/>
    <x v="148"/>
    <x v="0"/>
    <x v="39"/>
    <x v="0"/>
    <n v="3"/>
    <n v="384"/>
    <n v="1152"/>
    <x v="0"/>
  </r>
  <r>
    <n v="150"/>
    <x v="11"/>
    <x v="2"/>
    <x v="0"/>
    <x v="149"/>
    <x v="0"/>
    <x v="17"/>
    <x v="1"/>
    <n v="3"/>
    <n v="428"/>
    <n v="1284"/>
    <x v="2"/>
  </r>
  <r>
    <n v="151"/>
    <x v="125"/>
    <x v="0"/>
    <x v="0"/>
    <x v="150"/>
    <x v="0"/>
    <x v="28"/>
    <x v="1"/>
    <n v="2"/>
    <n v="356"/>
    <n v="712"/>
    <x v="0"/>
  </r>
  <r>
    <n v="152"/>
    <x v="119"/>
    <x v="10"/>
    <x v="0"/>
    <x v="151"/>
    <x v="1"/>
    <x v="30"/>
    <x v="1"/>
    <n v="1"/>
    <n v="109"/>
    <n v="109"/>
    <x v="1"/>
  </r>
  <r>
    <n v="153"/>
    <x v="28"/>
    <x v="9"/>
    <x v="0"/>
    <x v="152"/>
    <x v="1"/>
    <x v="24"/>
    <x v="1"/>
    <n v="4"/>
    <n v="377"/>
    <n v="1508"/>
    <x v="1"/>
  </r>
  <r>
    <n v="154"/>
    <x v="126"/>
    <x v="9"/>
    <x v="0"/>
    <x v="153"/>
    <x v="1"/>
    <x v="12"/>
    <x v="0"/>
    <n v="4"/>
    <n v="249"/>
    <n v="996"/>
    <x v="1"/>
  </r>
  <r>
    <n v="155"/>
    <x v="46"/>
    <x v="11"/>
    <x v="0"/>
    <x v="154"/>
    <x v="0"/>
    <x v="28"/>
    <x v="0"/>
    <n v="3"/>
    <n v="334"/>
    <n v="1002"/>
    <x v="0"/>
  </r>
  <r>
    <n v="156"/>
    <x v="127"/>
    <x v="4"/>
    <x v="0"/>
    <x v="155"/>
    <x v="0"/>
    <x v="16"/>
    <x v="1"/>
    <n v="1"/>
    <n v="416"/>
    <n v="416"/>
    <x v="1"/>
  </r>
  <r>
    <n v="157"/>
    <x v="128"/>
    <x v="8"/>
    <x v="0"/>
    <x v="156"/>
    <x v="1"/>
    <x v="42"/>
    <x v="1"/>
    <n v="2"/>
    <n v="265"/>
    <n v="530"/>
    <x v="0"/>
  </r>
  <r>
    <n v="158"/>
    <x v="129"/>
    <x v="3"/>
    <x v="0"/>
    <x v="157"/>
    <x v="1"/>
    <x v="12"/>
    <x v="1"/>
    <n v="4"/>
    <n v="350"/>
    <n v="1400"/>
    <x v="2"/>
  </r>
  <r>
    <n v="159"/>
    <x v="130"/>
    <x v="3"/>
    <x v="0"/>
    <x v="158"/>
    <x v="0"/>
    <x v="40"/>
    <x v="2"/>
    <n v="4"/>
    <n v="195"/>
    <n v="780"/>
    <x v="2"/>
  </r>
  <r>
    <n v="160"/>
    <x v="131"/>
    <x v="9"/>
    <x v="0"/>
    <x v="159"/>
    <x v="0"/>
    <x v="10"/>
    <x v="2"/>
    <n v="4"/>
    <n v="380"/>
    <n v="1520"/>
    <x v="1"/>
  </r>
  <r>
    <n v="161"/>
    <x v="132"/>
    <x v="3"/>
    <x v="0"/>
    <x v="160"/>
    <x v="1"/>
    <x v="33"/>
    <x v="2"/>
    <n v="1"/>
    <n v="257"/>
    <n v="257"/>
    <x v="2"/>
  </r>
  <r>
    <n v="162"/>
    <x v="133"/>
    <x v="11"/>
    <x v="0"/>
    <x v="161"/>
    <x v="1"/>
    <x v="22"/>
    <x v="2"/>
    <n v="1"/>
    <n v="420"/>
    <n v="420"/>
    <x v="0"/>
  </r>
  <r>
    <n v="163"/>
    <x v="134"/>
    <x v="5"/>
    <x v="0"/>
    <x v="162"/>
    <x v="0"/>
    <x v="33"/>
    <x v="0"/>
    <n v="4"/>
    <n v="236"/>
    <n v="944"/>
    <x v="2"/>
  </r>
  <r>
    <n v="164"/>
    <x v="39"/>
    <x v="6"/>
    <x v="0"/>
    <x v="163"/>
    <x v="0"/>
    <x v="18"/>
    <x v="2"/>
    <n v="4"/>
    <n v="345"/>
    <n v="1380"/>
    <x v="0"/>
  </r>
  <r>
    <n v="165"/>
    <x v="75"/>
    <x v="2"/>
    <x v="0"/>
    <x v="164"/>
    <x v="0"/>
    <x v="4"/>
    <x v="2"/>
    <n v="2"/>
    <n v="499"/>
    <n v="998"/>
    <x v="2"/>
  </r>
  <r>
    <n v="166"/>
    <x v="135"/>
    <x v="4"/>
    <x v="0"/>
    <x v="165"/>
    <x v="1"/>
    <x v="11"/>
    <x v="2"/>
    <n v="1"/>
    <n v="39"/>
    <n v="39"/>
    <x v="1"/>
  </r>
  <r>
    <n v="167"/>
    <x v="136"/>
    <x v="0"/>
    <x v="0"/>
    <x v="166"/>
    <x v="0"/>
    <x v="23"/>
    <x v="1"/>
    <n v="3"/>
    <n v="307"/>
    <n v="921"/>
    <x v="0"/>
  </r>
  <r>
    <n v="168"/>
    <x v="114"/>
    <x v="6"/>
    <x v="0"/>
    <x v="167"/>
    <x v="1"/>
    <x v="16"/>
    <x v="1"/>
    <n v="1"/>
    <n v="261"/>
    <n v="261"/>
    <x v="0"/>
  </r>
  <r>
    <n v="169"/>
    <x v="137"/>
    <x v="10"/>
    <x v="0"/>
    <x v="168"/>
    <x v="0"/>
    <x v="45"/>
    <x v="0"/>
    <n v="3"/>
    <n v="285"/>
    <n v="855"/>
    <x v="1"/>
  </r>
  <r>
    <n v="170"/>
    <x v="138"/>
    <x v="8"/>
    <x v="0"/>
    <x v="169"/>
    <x v="1"/>
    <x v="38"/>
    <x v="2"/>
    <n v="4"/>
    <n v="149"/>
    <n v="596"/>
    <x v="0"/>
  </r>
  <r>
    <n v="171"/>
    <x v="139"/>
    <x v="2"/>
    <x v="0"/>
    <x v="170"/>
    <x v="0"/>
    <x v="29"/>
    <x v="1"/>
    <n v="2"/>
    <n v="467"/>
    <n v="934"/>
    <x v="2"/>
  </r>
  <r>
    <n v="172"/>
    <x v="66"/>
    <x v="11"/>
    <x v="0"/>
    <x v="171"/>
    <x v="1"/>
    <x v="38"/>
    <x v="2"/>
    <n v="3"/>
    <n v="445"/>
    <n v="1335"/>
    <x v="0"/>
  </r>
  <r>
    <n v="173"/>
    <x v="140"/>
    <x v="6"/>
    <x v="0"/>
    <x v="172"/>
    <x v="1"/>
    <x v="46"/>
    <x v="2"/>
    <n v="4"/>
    <n v="468"/>
    <n v="1872"/>
    <x v="0"/>
  </r>
  <r>
    <n v="174"/>
    <x v="119"/>
    <x v="10"/>
    <x v="0"/>
    <x v="173"/>
    <x v="1"/>
    <x v="6"/>
    <x v="2"/>
    <n v="3"/>
    <n v="195"/>
    <n v="585"/>
    <x v="1"/>
  </r>
  <r>
    <n v="175"/>
    <x v="8"/>
    <x v="7"/>
    <x v="0"/>
    <x v="174"/>
    <x v="1"/>
    <x v="20"/>
    <x v="2"/>
    <n v="2"/>
    <n v="382"/>
    <n v="764"/>
    <x v="2"/>
  </r>
  <r>
    <n v="176"/>
    <x v="86"/>
    <x v="4"/>
    <x v="0"/>
    <x v="175"/>
    <x v="1"/>
    <x v="9"/>
    <x v="2"/>
    <n v="1"/>
    <n v="187"/>
    <n v="187"/>
    <x v="1"/>
  </r>
  <r>
    <n v="177"/>
    <x v="37"/>
    <x v="2"/>
    <x v="0"/>
    <x v="176"/>
    <x v="1"/>
    <x v="29"/>
    <x v="0"/>
    <n v="2"/>
    <n v="278"/>
    <n v="556"/>
    <x v="2"/>
  </r>
  <r>
    <n v="178"/>
    <x v="57"/>
    <x v="6"/>
    <x v="0"/>
    <x v="177"/>
    <x v="0"/>
    <x v="26"/>
    <x v="0"/>
    <n v="3"/>
    <n v="470"/>
    <n v="1410"/>
    <x v="0"/>
  </r>
  <r>
    <n v="179"/>
    <x v="141"/>
    <x v="11"/>
    <x v="0"/>
    <x v="178"/>
    <x v="1"/>
    <x v="1"/>
    <x v="0"/>
    <n v="4"/>
    <n v="32"/>
    <n v="128"/>
    <x v="0"/>
  </r>
  <r>
    <n v="180"/>
    <x v="142"/>
    <x v="10"/>
    <x v="0"/>
    <x v="179"/>
    <x v="1"/>
    <x v="19"/>
    <x v="1"/>
    <n v="1"/>
    <n v="265"/>
    <n v="265"/>
    <x v="1"/>
  </r>
  <r>
    <n v="181"/>
    <x v="18"/>
    <x v="4"/>
    <x v="0"/>
    <x v="180"/>
    <x v="1"/>
    <x v="35"/>
    <x v="0"/>
    <n v="4"/>
    <n v="357"/>
    <n v="1428"/>
    <x v="1"/>
  </r>
  <r>
    <n v="182"/>
    <x v="46"/>
    <x v="11"/>
    <x v="0"/>
    <x v="181"/>
    <x v="1"/>
    <x v="17"/>
    <x v="0"/>
    <n v="4"/>
    <n v="187"/>
    <n v="748"/>
    <x v="0"/>
  </r>
  <r>
    <n v="183"/>
    <x v="125"/>
    <x v="0"/>
    <x v="0"/>
    <x v="182"/>
    <x v="1"/>
    <x v="6"/>
    <x v="1"/>
    <n v="1"/>
    <n v="145"/>
    <n v="145"/>
    <x v="0"/>
  </r>
  <r>
    <n v="184"/>
    <x v="143"/>
    <x v="0"/>
    <x v="0"/>
    <x v="183"/>
    <x v="1"/>
    <x v="9"/>
    <x v="0"/>
    <n v="1"/>
    <n v="247"/>
    <n v="247"/>
    <x v="0"/>
  </r>
  <r>
    <n v="185"/>
    <x v="144"/>
    <x v="11"/>
    <x v="0"/>
    <x v="184"/>
    <x v="0"/>
    <x v="24"/>
    <x v="1"/>
    <n v="3"/>
    <n v="487"/>
    <n v="1461"/>
    <x v="0"/>
  </r>
  <r>
    <n v="186"/>
    <x v="145"/>
    <x v="6"/>
    <x v="0"/>
    <x v="185"/>
    <x v="0"/>
    <x v="31"/>
    <x v="1"/>
    <n v="3"/>
    <n v="208"/>
    <n v="624"/>
    <x v="0"/>
  </r>
  <r>
    <n v="187"/>
    <x v="26"/>
    <x v="5"/>
    <x v="0"/>
    <x v="186"/>
    <x v="1"/>
    <x v="30"/>
    <x v="1"/>
    <n v="4"/>
    <n v="314"/>
    <n v="1256"/>
    <x v="2"/>
  </r>
  <r>
    <n v="188"/>
    <x v="146"/>
    <x v="8"/>
    <x v="0"/>
    <x v="187"/>
    <x v="0"/>
    <x v="10"/>
    <x v="1"/>
    <n v="1"/>
    <n v="337"/>
    <n v="337"/>
    <x v="0"/>
  </r>
  <r>
    <n v="189"/>
    <x v="22"/>
    <x v="5"/>
    <x v="0"/>
    <x v="188"/>
    <x v="0"/>
    <x v="45"/>
    <x v="0"/>
    <n v="2"/>
    <n v="143"/>
    <n v="286"/>
    <x v="2"/>
  </r>
  <r>
    <n v="190"/>
    <x v="14"/>
    <x v="2"/>
    <x v="0"/>
    <x v="189"/>
    <x v="1"/>
    <x v="20"/>
    <x v="2"/>
    <n v="1"/>
    <n v="485"/>
    <n v="485"/>
    <x v="2"/>
  </r>
  <r>
    <n v="191"/>
    <x v="90"/>
    <x v="2"/>
    <x v="0"/>
    <x v="190"/>
    <x v="1"/>
    <x v="17"/>
    <x v="0"/>
    <n v="2"/>
    <n v="62"/>
    <n v="124"/>
    <x v="2"/>
  </r>
  <r>
    <n v="192"/>
    <x v="75"/>
    <x v="2"/>
    <x v="0"/>
    <x v="191"/>
    <x v="1"/>
    <x v="15"/>
    <x v="2"/>
    <n v="4"/>
    <n v="378"/>
    <n v="1512"/>
    <x v="2"/>
  </r>
  <r>
    <n v="193"/>
    <x v="127"/>
    <x v="4"/>
    <x v="0"/>
    <x v="192"/>
    <x v="1"/>
    <x v="34"/>
    <x v="1"/>
    <n v="4"/>
    <n v="461"/>
    <n v="1844"/>
    <x v="1"/>
  </r>
  <r>
    <n v="194"/>
    <x v="147"/>
    <x v="3"/>
    <x v="0"/>
    <x v="193"/>
    <x v="0"/>
    <x v="14"/>
    <x v="2"/>
    <n v="3"/>
    <n v="319"/>
    <n v="957"/>
    <x v="2"/>
  </r>
  <r>
    <n v="195"/>
    <x v="148"/>
    <x v="9"/>
    <x v="0"/>
    <x v="194"/>
    <x v="1"/>
    <x v="0"/>
    <x v="0"/>
    <n v="4"/>
    <n v="165"/>
    <n v="660"/>
    <x v="1"/>
  </r>
  <r>
    <n v="196"/>
    <x v="56"/>
    <x v="6"/>
    <x v="0"/>
    <x v="195"/>
    <x v="0"/>
    <x v="32"/>
    <x v="0"/>
    <n v="4"/>
    <n v="451"/>
    <n v="1804"/>
    <x v="0"/>
  </r>
  <r>
    <n v="197"/>
    <x v="74"/>
    <x v="4"/>
    <x v="0"/>
    <x v="196"/>
    <x v="0"/>
    <x v="32"/>
    <x v="2"/>
    <n v="2"/>
    <n v="350"/>
    <n v="700"/>
    <x v="1"/>
  </r>
  <r>
    <n v="198"/>
    <x v="149"/>
    <x v="1"/>
    <x v="0"/>
    <x v="197"/>
    <x v="1"/>
    <x v="17"/>
    <x v="0"/>
    <n v="2"/>
    <n v="346"/>
    <n v="692"/>
    <x v="1"/>
  </r>
  <r>
    <n v="199"/>
    <x v="150"/>
    <x v="11"/>
    <x v="0"/>
    <x v="198"/>
    <x v="0"/>
    <x v="34"/>
    <x v="2"/>
    <n v="1"/>
    <n v="321"/>
    <n v="321"/>
    <x v="0"/>
  </r>
  <r>
    <n v="200"/>
    <x v="151"/>
    <x v="5"/>
    <x v="0"/>
    <x v="199"/>
    <x v="0"/>
    <x v="16"/>
    <x v="2"/>
    <n v="3"/>
    <n v="407"/>
    <n v="1221"/>
    <x v="2"/>
  </r>
  <r>
    <n v="201"/>
    <x v="79"/>
    <x v="2"/>
    <x v="0"/>
    <x v="200"/>
    <x v="0"/>
    <x v="27"/>
    <x v="1"/>
    <n v="3"/>
    <n v="296"/>
    <n v="888"/>
    <x v="2"/>
  </r>
  <r>
    <n v="202"/>
    <x v="152"/>
    <x v="3"/>
    <x v="0"/>
    <x v="201"/>
    <x v="1"/>
    <x v="10"/>
    <x v="2"/>
    <n v="4"/>
    <n v="437"/>
    <n v="1748"/>
    <x v="2"/>
  </r>
  <r>
    <n v="203"/>
    <x v="148"/>
    <x v="9"/>
    <x v="0"/>
    <x v="202"/>
    <x v="1"/>
    <x v="41"/>
    <x v="2"/>
    <n v="1"/>
    <n v="97"/>
    <n v="97"/>
    <x v="1"/>
  </r>
  <r>
    <n v="204"/>
    <x v="153"/>
    <x v="1"/>
    <x v="0"/>
    <x v="203"/>
    <x v="1"/>
    <x v="2"/>
    <x v="2"/>
    <n v="1"/>
    <n v="429"/>
    <n v="429"/>
    <x v="1"/>
  </r>
  <r>
    <n v="205"/>
    <x v="154"/>
    <x v="5"/>
    <x v="0"/>
    <x v="204"/>
    <x v="0"/>
    <x v="22"/>
    <x v="0"/>
    <n v="1"/>
    <n v="257"/>
    <n v="257"/>
    <x v="2"/>
  </r>
  <r>
    <n v="206"/>
    <x v="155"/>
    <x v="5"/>
    <x v="0"/>
    <x v="205"/>
    <x v="1"/>
    <x v="15"/>
    <x v="2"/>
    <n v="3"/>
    <n v="80"/>
    <n v="240"/>
    <x v="2"/>
  </r>
  <r>
    <n v="207"/>
    <x v="156"/>
    <x v="8"/>
    <x v="0"/>
    <x v="206"/>
    <x v="0"/>
    <x v="40"/>
    <x v="1"/>
    <n v="3"/>
    <n v="493"/>
    <n v="1479"/>
    <x v="0"/>
  </r>
  <r>
    <n v="208"/>
    <x v="157"/>
    <x v="0"/>
    <x v="0"/>
    <x v="207"/>
    <x v="0"/>
    <x v="19"/>
    <x v="1"/>
    <n v="4"/>
    <n v="490"/>
    <n v="1960"/>
    <x v="0"/>
  </r>
  <r>
    <n v="209"/>
    <x v="158"/>
    <x v="8"/>
    <x v="0"/>
    <x v="208"/>
    <x v="1"/>
    <x v="19"/>
    <x v="2"/>
    <n v="1"/>
    <n v="96"/>
    <n v="96"/>
    <x v="0"/>
  </r>
  <r>
    <n v="210"/>
    <x v="78"/>
    <x v="6"/>
    <x v="0"/>
    <x v="209"/>
    <x v="0"/>
    <x v="34"/>
    <x v="2"/>
    <n v="1"/>
    <n v="74"/>
    <n v="74"/>
    <x v="0"/>
  </r>
  <r>
    <n v="211"/>
    <x v="77"/>
    <x v="4"/>
    <x v="0"/>
    <x v="210"/>
    <x v="0"/>
    <x v="29"/>
    <x v="2"/>
    <n v="3"/>
    <n v="368"/>
    <n v="1104"/>
    <x v="1"/>
  </r>
  <r>
    <n v="212"/>
    <x v="159"/>
    <x v="8"/>
    <x v="0"/>
    <x v="211"/>
    <x v="1"/>
    <x v="15"/>
    <x v="0"/>
    <n v="2"/>
    <n v="478"/>
    <n v="956"/>
    <x v="0"/>
  </r>
  <r>
    <n v="213"/>
    <x v="79"/>
    <x v="2"/>
    <x v="0"/>
    <x v="212"/>
    <x v="0"/>
    <x v="45"/>
    <x v="0"/>
    <n v="4"/>
    <n v="168"/>
    <n v="672"/>
    <x v="2"/>
  </r>
  <r>
    <n v="214"/>
    <x v="124"/>
    <x v="6"/>
    <x v="0"/>
    <x v="213"/>
    <x v="1"/>
    <x v="4"/>
    <x v="2"/>
    <n v="4"/>
    <n v="145"/>
    <n v="580"/>
    <x v="0"/>
  </r>
  <r>
    <n v="215"/>
    <x v="160"/>
    <x v="5"/>
    <x v="0"/>
    <x v="214"/>
    <x v="0"/>
    <x v="17"/>
    <x v="2"/>
    <n v="3"/>
    <n v="56"/>
    <n v="168"/>
    <x v="2"/>
  </r>
  <r>
    <n v="216"/>
    <x v="161"/>
    <x v="5"/>
    <x v="0"/>
    <x v="215"/>
    <x v="1"/>
    <x v="27"/>
    <x v="1"/>
    <n v="4"/>
    <n v="71"/>
    <n v="284"/>
    <x v="2"/>
  </r>
  <r>
    <n v="217"/>
    <x v="162"/>
    <x v="8"/>
    <x v="0"/>
    <x v="216"/>
    <x v="0"/>
    <x v="19"/>
    <x v="0"/>
    <n v="1"/>
    <n v="50"/>
    <n v="50"/>
    <x v="0"/>
  </r>
  <r>
    <n v="218"/>
    <x v="62"/>
    <x v="9"/>
    <x v="0"/>
    <x v="217"/>
    <x v="0"/>
    <x v="43"/>
    <x v="0"/>
    <n v="2"/>
    <n v="60"/>
    <n v="120"/>
    <x v="1"/>
  </r>
  <r>
    <n v="219"/>
    <x v="34"/>
    <x v="7"/>
    <x v="0"/>
    <x v="218"/>
    <x v="0"/>
    <x v="15"/>
    <x v="1"/>
    <n v="2"/>
    <n v="193"/>
    <n v="386"/>
    <x v="2"/>
  </r>
  <r>
    <n v="220"/>
    <x v="163"/>
    <x v="10"/>
    <x v="0"/>
    <x v="219"/>
    <x v="0"/>
    <x v="12"/>
    <x v="1"/>
    <n v="2"/>
    <n v="301"/>
    <n v="602"/>
    <x v="1"/>
  </r>
  <r>
    <n v="221"/>
    <x v="127"/>
    <x v="4"/>
    <x v="0"/>
    <x v="220"/>
    <x v="0"/>
    <x v="41"/>
    <x v="0"/>
    <n v="1"/>
    <n v="92"/>
    <n v="92"/>
    <x v="1"/>
  </r>
  <r>
    <n v="222"/>
    <x v="114"/>
    <x v="6"/>
    <x v="0"/>
    <x v="221"/>
    <x v="1"/>
    <x v="14"/>
    <x v="0"/>
    <n v="3"/>
    <n v="33"/>
    <n v="99"/>
    <x v="0"/>
  </r>
  <r>
    <n v="223"/>
    <x v="73"/>
    <x v="10"/>
    <x v="0"/>
    <x v="222"/>
    <x v="1"/>
    <x v="21"/>
    <x v="1"/>
    <n v="4"/>
    <n v="294"/>
    <n v="1176"/>
    <x v="1"/>
  </r>
  <r>
    <n v="224"/>
    <x v="23"/>
    <x v="11"/>
    <x v="0"/>
    <x v="223"/>
    <x v="0"/>
    <x v="40"/>
    <x v="2"/>
    <n v="3"/>
    <n v="287"/>
    <n v="861"/>
    <x v="0"/>
  </r>
  <r>
    <n v="225"/>
    <x v="100"/>
    <x v="7"/>
    <x v="0"/>
    <x v="224"/>
    <x v="0"/>
    <x v="24"/>
    <x v="0"/>
    <n v="2"/>
    <n v="339"/>
    <n v="678"/>
    <x v="2"/>
  </r>
  <r>
    <n v="226"/>
    <x v="7"/>
    <x v="6"/>
    <x v="0"/>
    <x v="225"/>
    <x v="1"/>
    <x v="20"/>
    <x v="0"/>
    <n v="1"/>
    <n v="56"/>
    <n v="56"/>
    <x v="0"/>
  </r>
  <r>
    <n v="227"/>
    <x v="164"/>
    <x v="3"/>
    <x v="0"/>
    <x v="226"/>
    <x v="1"/>
    <x v="28"/>
    <x v="0"/>
    <n v="1"/>
    <n v="276"/>
    <n v="276"/>
    <x v="2"/>
  </r>
  <r>
    <n v="228"/>
    <x v="165"/>
    <x v="8"/>
    <x v="0"/>
    <x v="227"/>
    <x v="1"/>
    <x v="25"/>
    <x v="1"/>
    <n v="3"/>
    <n v="336"/>
    <n v="1008"/>
    <x v="0"/>
  </r>
  <r>
    <n v="229"/>
    <x v="163"/>
    <x v="10"/>
    <x v="0"/>
    <x v="228"/>
    <x v="0"/>
    <x v="43"/>
    <x v="2"/>
    <n v="3"/>
    <n v="220"/>
    <n v="660"/>
    <x v="1"/>
  </r>
  <r>
    <n v="230"/>
    <x v="166"/>
    <x v="0"/>
    <x v="0"/>
    <x v="229"/>
    <x v="1"/>
    <x v="20"/>
    <x v="0"/>
    <n v="4"/>
    <n v="75"/>
    <n v="300"/>
    <x v="0"/>
  </r>
  <r>
    <n v="231"/>
    <x v="111"/>
    <x v="8"/>
    <x v="0"/>
    <x v="230"/>
    <x v="0"/>
    <x v="19"/>
    <x v="0"/>
    <n v="2"/>
    <n v="245"/>
    <n v="490"/>
    <x v="0"/>
  </r>
  <r>
    <n v="232"/>
    <x v="167"/>
    <x v="2"/>
    <x v="0"/>
    <x v="231"/>
    <x v="0"/>
    <x v="38"/>
    <x v="2"/>
    <n v="4"/>
    <n v="229"/>
    <n v="916"/>
    <x v="2"/>
  </r>
  <r>
    <n v="233"/>
    <x v="79"/>
    <x v="2"/>
    <x v="0"/>
    <x v="232"/>
    <x v="0"/>
    <x v="31"/>
    <x v="2"/>
    <n v="3"/>
    <n v="365"/>
    <n v="1095"/>
    <x v="2"/>
  </r>
  <r>
    <n v="234"/>
    <x v="168"/>
    <x v="4"/>
    <x v="0"/>
    <x v="233"/>
    <x v="1"/>
    <x v="30"/>
    <x v="0"/>
    <n v="4"/>
    <n v="59"/>
    <n v="236"/>
    <x v="1"/>
  </r>
  <r>
    <n v="235"/>
    <x v="169"/>
    <x v="11"/>
    <x v="0"/>
    <x v="234"/>
    <x v="0"/>
    <x v="16"/>
    <x v="2"/>
    <n v="1"/>
    <n v="406"/>
    <n v="406"/>
    <x v="0"/>
  </r>
  <r>
    <n v="236"/>
    <x v="170"/>
    <x v="5"/>
    <x v="0"/>
    <x v="235"/>
    <x v="0"/>
    <x v="2"/>
    <x v="1"/>
    <n v="3"/>
    <n v="368"/>
    <n v="1104"/>
    <x v="2"/>
  </r>
  <r>
    <n v="237"/>
    <x v="171"/>
    <x v="10"/>
    <x v="0"/>
    <x v="236"/>
    <x v="1"/>
    <x v="5"/>
    <x v="0"/>
    <n v="4"/>
    <n v="469"/>
    <n v="1876"/>
    <x v="1"/>
  </r>
  <r>
    <n v="238"/>
    <x v="172"/>
    <x v="6"/>
    <x v="0"/>
    <x v="237"/>
    <x v="1"/>
    <x v="32"/>
    <x v="2"/>
    <n v="3"/>
    <n v="78"/>
    <n v="234"/>
    <x v="0"/>
  </r>
  <r>
    <n v="239"/>
    <x v="70"/>
    <x v="7"/>
    <x v="0"/>
    <x v="238"/>
    <x v="0"/>
    <x v="30"/>
    <x v="0"/>
    <n v="4"/>
    <n v="139"/>
    <n v="556"/>
    <x v="2"/>
  </r>
  <r>
    <n v="240"/>
    <x v="40"/>
    <x v="11"/>
    <x v="0"/>
    <x v="239"/>
    <x v="1"/>
    <x v="2"/>
    <x v="2"/>
    <n v="1"/>
    <n v="415"/>
    <n v="415"/>
    <x v="0"/>
  </r>
  <r>
    <n v="241"/>
    <x v="5"/>
    <x v="4"/>
    <x v="0"/>
    <x v="240"/>
    <x v="0"/>
    <x v="28"/>
    <x v="0"/>
    <n v="1"/>
    <n v="336"/>
    <n v="336"/>
    <x v="1"/>
  </r>
  <r>
    <n v="242"/>
    <x v="173"/>
    <x v="8"/>
    <x v="0"/>
    <x v="241"/>
    <x v="1"/>
    <x v="0"/>
    <x v="1"/>
    <n v="3"/>
    <n v="384"/>
    <n v="1152"/>
    <x v="0"/>
  </r>
  <r>
    <n v="243"/>
    <x v="72"/>
    <x v="9"/>
    <x v="0"/>
    <x v="242"/>
    <x v="1"/>
    <x v="5"/>
    <x v="1"/>
    <n v="2"/>
    <n v="470"/>
    <n v="940"/>
    <x v="1"/>
  </r>
  <r>
    <n v="244"/>
    <x v="142"/>
    <x v="10"/>
    <x v="0"/>
    <x v="243"/>
    <x v="1"/>
    <x v="25"/>
    <x v="1"/>
    <n v="1"/>
    <n v="71"/>
    <n v="71"/>
    <x v="1"/>
  </r>
  <r>
    <n v="245"/>
    <x v="174"/>
    <x v="3"/>
    <x v="0"/>
    <x v="244"/>
    <x v="0"/>
    <x v="29"/>
    <x v="2"/>
    <n v="4"/>
    <n v="199"/>
    <n v="796"/>
    <x v="2"/>
  </r>
  <r>
    <n v="246"/>
    <x v="175"/>
    <x v="10"/>
    <x v="0"/>
    <x v="245"/>
    <x v="1"/>
    <x v="34"/>
    <x v="0"/>
    <n v="3"/>
    <n v="422"/>
    <n v="1266"/>
    <x v="1"/>
  </r>
  <r>
    <n v="247"/>
    <x v="176"/>
    <x v="7"/>
    <x v="0"/>
    <x v="246"/>
    <x v="0"/>
    <x v="21"/>
    <x v="1"/>
    <n v="2"/>
    <n v="411"/>
    <n v="822"/>
    <x v="2"/>
  </r>
  <r>
    <n v="248"/>
    <x v="177"/>
    <x v="0"/>
    <x v="0"/>
    <x v="247"/>
    <x v="0"/>
    <x v="17"/>
    <x v="1"/>
    <n v="3"/>
    <n v="251"/>
    <n v="753"/>
    <x v="0"/>
  </r>
  <r>
    <n v="249"/>
    <x v="178"/>
    <x v="8"/>
    <x v="0"/>
    <x v="248"/>
    <x v="1"/>
    <x v="45"/>
    <x v="0"/>
    <n v="4"/>
    <n v="237"/>
    <n v="948"/>
    <x v="0"/>
  </r>
  <r>
    <n v="250"/>
    <x v="87"/>
    <x v="4"/>
    <x v="0"/>
    <x v="249"/>
    <x v="0"/>
    <x v="26"/>
    <x v="1"/>
    <n v="3"/>
    <n v="245"/>
    <n v="735"/>
    <x v="1"/>
  </r>
  <r>
    <n v="251"/>
    <x v="179"/>
    <x v="11"/>
    <x v="0"/>
    <x v="250"/>
    <x v="1"/>
    <x v="17"/>
    <x v="0"/>
    <n v="4"/>
    <n v="294"/>
    <n v="1176"/>
    <x v="0"/>
  </r>
  <r>
    <n v="252"/>
    <x v="180"/>
    <x v="8"/>
    <x v="0"/>
    <x v="251"/>
    <x v="1"/>
    <x v="8"/>
    <x v="1"/>
    <n v="4"/>
    <n v="331"/>
    <n v="1324"/>
    <x v="0"/>
  </r>
  <r>
    <n v="253"/>
    <x v="181"/>
    <x v="6"/>
    <x v="0"/>
    <x v="252"/>
    <x v="0"/>
    <x v="4"/>
    <x v="2"/>
    <n v="2"/>
    <n v="417"/>
    <n v="834"/>
    <x v="0"/>
  </r>
  <r>
    <n v="254"/>
    <x v="20"/>
    <x v="10"/>
    <x v="0"/>
    <x v="253"/>
    <x v="1"/>
    <x v="39"/>
    <x v="2"/>
    <n v="1"/>
    <n v="28"/>
    <n v="28"/>
    <x v="1"/>
  </r>
  <r>
    <n v="255"/>
    <x v="182"/>
    <x v="3"/>
    <x v="0"/>
    <x v="254"/>
    <x v="1"/>
    <x v="36"/>
    <x v="1"/>
    <n v="4"/>
    <n v="297"/>
    <n v="1188"/>
    <x v="2"/>
  </r>
  <r>
    <n v="256"/>
    <x v="183"/>
    <x v="8"/>
    <x v="0"/>
    <x v="255"/>
    <x v="0"/>
    <x v="26"/>
    <x v="0"/>
    <n v="3"/>
    <n v="61"/>
    <n v="183"/>
    <x v="0"/>
  </r>
  <r>
    <n v="1285"/>
    <x v="184"/>
    <x v="6"/>
    <x v="1"/>
    <x v="256"/>
    <x v="1"/>
    <x v="45"/>
    <x v="1"/>
    <n v="4"/>
    <n v="500"/>
    <n v="2000"/>
    <x v="0"/>
  </r>
  <r>
    <n v="258"/>
    <x v="185"/>
    <x v="11"/>
    <x v="0"/>
    <x v="257"/>
    <x v="1"/>
    <x v="42"/>
    <x v="2"/>
    <n v="4"/>
    <n v="388"/>
    <n v="1552"/>
    <x v="0"/>
  </r>
  <r>
    <n v="259"/>
    <x v="0"/>
    <x v="0"/>
    <x v="0"/>
    <x v="258"/>
    <x v="1"/>
    <x v="39"/>
    <x v="1"/>
    <n v="4"/>
    <n v="35"/>
    <n v="140"/>
    <x v="0"/>
  </r>
  <r>
    <n v="260"/>
    <x v="15"/>
    <x v="9"/>
    <x v="0"/>
    <x v="259"/>
    <x v="0"/>
    <x v="35"/>
    <x v="2"/>
    <n v="3"/>
    <n v="70"/>
    <n v="210"/>
    <x v="1"/>
  </r>
  <r>
    <n v="261"/>
    <x v="186"/>
    <x v="2"/>
    <x v="0"/>
    <x v="260"/>
    <x v="0"/>
    <x v="14"/>
    <x v="2"/>
    <n v="4"/>
    <n v="293"/>
    <n v="1172"/>
    <x v="2"/>
  </r>
  <r>
    <n v="262"/>
    <x v="187"/>
    <x v="11"/>
    <x v="0"/>
    <x v="261"/>
    <x v="1"/>
    <x v="34"/>
    <x v="0"/>
    <n v="3"/>
    <n v="138"/>
    <n v="414"/>
    <x v="0"/>
  </r>
  <r>
    <n v="263"/>
    <x v="62"/>
    <x v="9"/>
    <x v="0"/>
    <x v="262"/>
    <x v="0"/>
    <x v="25"/>
    <x v="0"/>
    <n v="1"/>
    <n v="296"/>
    <n v="296"/>
    <x v="1"/>
  </r>
  <r>
    <n v="264"/>
    <x v="188"/>
    <x v="3"/>
    <x v="0"/>
    <x v="263"/>
    <x v="0"/>
    <x v="5"/>
    <x v="2"/>
    <n v="2"/>
    <n v="145"/>
    <n v="290"/>
    <x v="2"/>
  </r>
  <r>
    <n v="265"/>
    <x v="189"/>
    <x v="11"/>
    <x v="0"/>
    <x v="264"/>
    <x v="0"/>
    <x v="22"/>
    <x v="1"/>
    <n v="2"/>
    <n v="333"/>
    <n v="666"/>
    <x v="0"/>
  </r>
  <r>
    <n v="266"/>
    <x v="190"/>
    <x v="10"/>
    <x v="0"/>
    <x v="265"/>
    <x v="0"/>
    <x v="36"/>
    <x v="0"/>
    <n v="4"/>
    <n v="262"/>
    <n v="1048"/>
    <x v="1"/>
  </r>
  <r>
    <n v="267"/>
    <x v="191"/>
    <x v="7"/>
    <x v="0"/>
    <x v="266"/>
    <x v="1"/>
    <x v="17"/>
    <x v="0"/>
    <n v="3"/>
    <n v="467"/>
    <n v="1401"/>
    <x v="2"/>
  </r>
  <r>
    <n v="268"/>
    <x v="21"/>
    <x v="0"/>
    <x v="0"/>
    <x v="267"/>
    <x v="1"/>
    <x v="30"/>
    <x v="2"/>
    <n v="1"/>
    <n v="265"/>
    <n v="265"/>
    <x v="0"/>
  </r>
  <r>
    <n v="269"/>
    <x v="75"/>
    <x v="2"/>
    <x v="0"/>
    <x v="268"/>
    <x v="1"/>
    <x v="12"/>
    <x v="0"/>
    <n v="1"/>
    <n v="205"/>
    <n v="205"/>
    <x v="2"/>
  </r>
  <r>
    <n v="270"/>
    <x v="192"/>
    <x v="3"/>
    <x v="0"/>
    <x v="269"/>
    <x v="0"/>
    <x v="34"/>
    <x v="2"/>
    <n v="4"/>
    <n v="44"/>
    <n v="176"/>
    <x v="2"/>
  </r>
  <r>
    <n v="271"/>
    <x v="42"/>
    <x v="6"/>
    <x v="0"/>
    <x v="270"/>
    <x v="1"/>
    <x v="39"/>
    <x v="1"/>
    <n v="1"/>
    <n v="339"/>
    <n v="339"/>
    <x v="0"/>
  </r>
  <r>
    <n v="272"/>
    <x v="193"/>
    <x v="0"/>
    <x v="0"/>
    <x v="271"/>
    <x v="1"/>
    <x v="20"/>
    <x v="0"/>
    <n v="1"/>
    <n v="255"/>
    <n v="255"/>
    <x v="0"/>
  </r>
  <r>
    <n v="273"/>
    <x v="194"/>
    <x v="7"/>
    <x v="0"/>
    <x v="272"/>
    <x v="0"/>
    <x v="31"/>
    <x v="0"/>
    <n v="4"/>
    <n v="281"/>
    <n v="1124"/>
    <x v="2"/>
  </r>
  <r>
    <n v="274"/>
    <x v="88"/>
    <x v="10"/>
    <x v="0"/>
    <x v="273"/>
    <x v="0"/>
    <x v="24"/>
    <x v="1"/>
    <n v="3"/>
    <n v="390"/>
    <n v="1170"/>
    <x v="1"/>
  </r>
  <r>
    <n v="275"/>
    <x v="195"/>
    <x v="11"/>
    <x v="0"/>
    <x v="274"/>
    <x v="0"/>
    <x v="8"/>
    <x v="1"/>
    <n v="4"/>
    <n v="249"/>
    <n v="996"/>
    <x v="0"/>
  </r>
  <r>
    <n v="276"/>
    <x v="196"/>
    <x v="3"/>
    <x v="0"/>
    <x v="275"/>
    <x v="0"/>
    <x v="37"/>
    <x v="2"/>
    <n v="3"/>
    <n v="223"/>
    <n v="669"/>
    <x v="2"/>
  </r>
  <r>
    <n v="277"/>
    <x v="123"/>
    <x v="5"/>
    <x v="0"/>
    <x v="276"/>
    <x v="1"/>
    <x v="17"/>
    <x v="0"/>
    <n v="1"/>
    <n v="429"/>
    <n v="429"/>
    <x v="2"/>
  </r>
  <r>
    <n v="278"/>
    <x v="143"/>
    <x v="0"/>
    <x v="0"/>
    <x v="277"/>
    <x v="1"/>
    <x v="25"/>
    <x v="2"/>
    <n v="1"/>
    <n v="310"/>
    <n v="310"/>
    <x v="0"/>
  </r>
  <r>
    <n v="279"/>
    <x v="197"/>
    <x v="8"/>
    <x v="0"/>
    <x v="278"/>
    <x v="1"/>
    <x v="39"/>
    <x v="2"/>
    <n v="2"/>
    <n v="195"/>
    <n v="390"/>
    <x v="0"/>
  </r>
  <r>
    <n v="280"/>
    <x v="46"/>
    <x v="11"/>
    <x v="0"/>
    <x v="279"/>
    <x v="0"/>
    <x v="5"/>
    <x v="2"/>
    <n v="4"/>
    <n v="91"/>
    <n v="364"/>
    <x v="0"/>
  </r>
  <r>
    <n v="281"/>
    <x v="193"/>
    <x v="0"/>
    <x v="0"/>
    <x v="280"/>
    <x v="0"/>
    <x v="34"/>
    <x v="0"/>
    <n v="4"/>
    <n v="354"/>
    <n v="1416"/>
    <x v="0"/>
  </r>
  <r>
    <n v="282"/>
    <x v="198"/>
    <x v="9"/>
    <x v="0"/>
    <x v="281"/>
    <x v="0"/>
    <x v="33"/>
    <x v="0"/>
    <n v="1"/>
    <n v="355"/>
    <n v="355"/>
    <x v="1"/>
  </r>
  <r>
    <n v="283"/>
    <x v="12"/>
    <x v="8"/>
    <x v="0"/>
    <x v="282"/>
    <x v="1"/>
    <x v="26"/>
    <x v="2"/>
    <n v="1"/>
    <n v="210"/>
    <n v="210"/>
    <x v="0"/>
  </r>
  <r>
    <n v="284"/>
    <x v="72"/>
    <x v="9"/>
    <x v="0"/>
    <x v="283"/>
    <x v="0"/>
    <x v="4"/>
    <x v="2"/>
    <n v="4"/>
    <n v="123"/>
    <n v="492"/>
    <x v="1"/>
  </r>
  <r>
    <n v="285"/>
    <x v="153"/>
    <x v="1"/>
    <x v="0"/>
    <x v="284"/>
    <x v="0"/>
    <x v="30"/>
    <x v="1"/>
    <n v="3"/>
    <n v="457"/>
    <n v="1371"/>
    <x v="1"/>
  </r>
  <r>
    <n v="286"/>
    <x v="141"/>
    <x v="11"/>
    <x v="0"/>
    <x v="285"/>
    <x v="0"/>
    <x v="33"/>
    <x v="2"/>
    <n v="2"/>
    <n v="330"/>
    <n v="660"/>
    <x v="0"/>
  </r>
  <r>
    <n v="287"/>
    <x v="199"/>
    <x v="5"/>
    <x v="0"/>
    <x v="286"/>
    <x v="0"/>
    <x v="10"/>
    <x v="1"/>
    <n v="2"/>
    <n v="394"/>
    <n v="788"/>
    <x v="2"/>
  </r>
  <r>
    <n v="288"/>
    <x v="200"/>
    <x v="2"/>
    <x v="0"/>
    <x v="287"/>
    <x v="0"/>
    <x v="38"/>
    <x v="2"/>
    <n v="2"/>
    <n v="252"/>
    <n v="504"/>
    <x v="2"/>
  </r>
  <r>
    <n v="289"/>
    <x v="157"/>
    <x v="0"/>
    <x v="0"/>
    <x v="288"/>
    <x v="1"/>
    <x v="24"/>
    <x v="1"/>
    <n v="2"/>
    <n v="183"/>
    <n v="366"/>
    <x v="0"/>
  </r>
  <r>
    <n v="290"/>
    <x v="201"/>
    <x v="2"/>
    <x v="0"/>
    <x v="289"/>
    <x v="0"/>
    <x v="37"/>
    <x v="0"/>
    <n v="4"/>
    <n v="261"/>
    <n v="1044"/>
    <x v="2"/>
  </r>
  <r>
    <n v="291"/>
    <x v="202"/>
    <x v="4"/>
    <x v="0"/>
    <x v="290"/>
    <x v="1"/>
    <x v="26"/>
    <x v="0"/>
    <n v="4"/>
    <n v="107"/>
    <n v="428"/>
    <x v="1"/>
  </r>
  <r>
    <n v="292"/>
    <x v="64"/>
    <x v="1"/>
    <x v="0"/>
    <x v="291"/>
    <x v="0"/>
    <x v="22"/>
    <x v="1"/>
    <n v="4"/>
    <n v="472"/>
    <n v="1888"/>
    <x v="1"/>
  </r>
  <r>
    <n v="293"/>
    <x v="170"/>
    <x v="5"/>
    <x v="0"/>
    <x v="292"/>
    <x v="0"/>
    <x v="23"/>
    <x v="0"/>
    <n v="1"/>
    <n v="170"/>
    <n v="170"/>
    <x v="2"/>
  </r>
  <r>
    <n v="294"/>
    <x v="203"/>
    <x v="11"/>
    <x v="0"/>
    <x v="293"/>
    <x v="0"/>
    <x v="12"/>
    <x v="2"/>
    <n v="2"/>
    <n v="450"/>
    <n v="900"/>
    <x v="0"/>
  </r>
  <r>
    <n v="295"/>
    <x v="186"/>
    <x v="2"/>
    <x v="0"/>
    <x v="294"/>
    <x v="0"/>
    <x v="9"/>
    <x v="2"/>
    <n v="3"/>
    <n v="38"/>
    <n v="114"/>
    <x v="2"/>
  </r>
  <r>
    <n v="296"/>
    <x v="79"/>
    <x v="2"/>
    <x v="0"/>
    <x v="295"/>
    <x v="0"/>
    <x v="13"/>
    <x v="0"/>
    <n v="3"/>
    <n v="145"/>
    <n v="435"/>
    <x v="2"/>
  </r>
  <r>
    <n v="297"/>
    <x v="204"/>
    <x v="5"/>
    <x v="0"/>
    <x v="296"/>
    <x v="0"/>
    <x v="37"/>
    <x v="1"/>
    <n v="1"/>
    <n v="188"/>
    <n v="188"/>
    <x v="2"/>
  </r>
  <r>
    <n v="298"/>
    <x v="144"/>
    <x v="11"/>
    <x v="0"/>
    <x v="297"/>
    <x v="1"/>
    <x v="30"/>
    <x v="1"/>
    <n v="1"/>
    <n v="171"/>
    <n v="171"/>
    <x v="0"/>
  </r>
  <r>
    <n v="299"/>
    <x v="205"/>
    <x v="2"/>
    <x v="0"/>
    <x v="298"/>
    <x v="0"/>
    <x v="23"/>
    <x v="2"/>
    <n v="4"/>
    <n v="340"/>
    <n v="1360"/>
    <x v="2"/>
  </r>
  <r>
    <n v="300"/>
    <x v="206"/>
    <x v="6"/>
    <x v="0"/>
    <x v="299"/>
    <x v="0"/>
    <x v="0"/>
    <x v="2"/>
    <n v="2"/>
    <n v="452"/>
    <n v="904"/>
    <x v="0"/>
  </r>
  <r>
    <n v="301"/>
    <x v="119"/>
    <x v="10"/>
    <x v="0"/>
    <x v="300"/>
    <x v="1"/>
    <x v="41"/>
    <x v="2"/>
    <n v="2"/>
    <n v="179"/>
    <n v="358"/>
    <x v="1"/>
  </r>
  <r>
    <n v="302"/>
    <x v="171"/>
    <x v="10"/>
    <x v="0"/>
    <x v="301"/>
    <x v="0"/>
    <x v="14"/>
    <x v="2"/>
    <n v="4"/>
    <n v="57"/>
    <n v="228"/>
    <x v="1"/>
  </r>
  <r>
    <n v="303"/>
    <x v="179"/>
    <x v="11"/>
    <x v="0"/>
    <x v="302"/>
    <x v="1"/>
    <x v="32"/>
    <x v="0"/>
    <n v="1"/>
    <n v="348"/>
    <n v="348"/>
    <x v="0"/>
  </r>
  <r>
    <n v="304"/>
    <x v="207"/>
    <x v="3"/>
    <x v="0"/>
    <x v="303"/>
    <x v="0"/>
    <x v="23"/>
    <x v="1"/>
    <n v="3"/>
    <n v="244"/>
    <n v="732"/>
    <x v="2"/>
  </r>
  <r>
    <n v="305"/>
    <x v="208"/>
    <x v="6"/>
    <x v="0"/>
    <x v="304"/>
    <x v="1"/>
    <x v="14"/>
    <x v="0"/>
    <n v="4"/>
    <n v="120"/>
    <n v="480"/>
    <x v="0"/>
  </r>
  <r>
    <n v="306"/>
    <x v="209"/>
    <x v="8"/>
    <x v="0"/>
    <x v="305"/>
    <x v="0"/>
    <x v="18"/>
    <x v="2"/>
    <n v="1"/>
    <n v="294"/>
    <n v="294"/>
    <x v="0"/>
  </r>
  <r>
    <n v="307"/>
    <x v="210"/>
    <x v="7"/>
    <x v="0"/>
    <x v="306"/>
    <x v="0"/>
    <x v="29"/>
    <x v="2"/>
    <n v="1"/>
    <n v="350"/>
    <n v="350"/>
    <x v="2"/>
  </r>
  <r>
    <n v="308"/>
    <x v="211"/>
    <x v="5"/>
    <x v="0"/>
    <x v="307"/>
    <x v="1"/>
    <x v="22"/>
    <x v="0"/>
    <n v="1"/>
    <n v="207"/>
    <n v="207"/>
    <x v="2"/>
  </r>
  <r>
    <n v="309"/>
    <x v="212"/>
    <x v="11"/>
    <x v="0"/>
    <x v="308"/>
    <x v="1"/>
    <x v="14"/>
    <x v="0"/>
    <n v="1"/>
    <n v="420"/>
    <n v="420"/>
    <x v="0"/>
  </r>
  <r>
    <n v="310"/>
    <x v="68"/>
    <x v="7"/>
    <x v="0"/>
    <x v="309"/>
    <x v="1"/>
    <x v="43"/>
    <x v="1"/>
    <n v="3"/>
    <n v="304"/>
    <n v="912"/>
    <x v="2"/>
  </r>
  <r>
    <n v="311"/>
    <x v="213"/>
    <x v="9"/>
    <x v="0"/>
    <x v="310"/>
    <x v="0"/>
    <x v="17"/>
    <x v="2"/>
    <n v="4"/>
    <n v="348"/>
    <n v="1392"/>
    <x v="1"/>
  </r>
  <r>
    <n v="312"/>
    <x v="214"/>
    <x v="1"/>
    <x v="0"/>
    <x v="311"/>
    <x v="0"/>
    <x v="25"/>
    <x v="0"/>
    <n v="4"/>
    <n v="43"/>
    <n v="172"/>
    <x v="1"/>
  </r>
  <r>
    <n v="313"/>
    <x v="215"/>
    <x v="4"/>
    <x v="0"/>
    <x v="312"/>
    <x v="0"/>
    <x v="8"/>
    <x v="1"/>
    <n v="1"/>
    <n v="186"/>
    <n v="186"/>
    <x v="1"/>
  </r>
  <r>
    <n v="314"/>
    <x v="72"/>
    <x v="9"/>
    <x v="0"/>
    <x v="313"/>
    <x v="1"/>
    <x v="6"/>
    <x v="2"/>
    <n v="3"/>
    <n v="43"/>
    <n v="129"/>
    <x v="1"/>
  </r>
  <r>
    <n v="315"/>
    <x v="216"/>
    <x v="0"/>
    <x v="0"/>
    <x v="314"/>
    <x v="0"/>
    <x v="39"/>
    <x v="2"/>
    <n v="1"/>
    <n v="468"/>
    <n v="468"/>
    <x v="0"/>
  </r>
  <r>
    <n v="316"/>
    <x v="17"/>
    <x v="8"/>
    <x v="0"/>
    <x v="315"/>
    <x v="1"/>
    <x v="12"/>
    <x v="1"/>
    <n v="3"/>
    <n v="248"/>
    <n v="744"/>
    <x v="0"/>
  </r>
  <r>
    <n v="317"/>
    <x v="80"/>
    <x v="5"/>
    <x v="0"/>
    <x v="316"/>
    <x v="1"/>
    <x v="29"/>
    <x v="2"/>
    <n v="2"/>
    <n v="279"/>
    <n v="558"/>
    <x v="2"/>
  </r>
  <r>
    <n v="318"/>
    <x v="217"/>
    <x v="8"/>
    <x v="0"/>
    <x v="317"/>
    <x v="1"/>
    <x v="37"/>
    <x v="0"/>
    <n v="3"/>
    <n v="435"/>
    <n v="1305"/>
    <x v="0"/>
  </r>
  <r>
    <n v="319"/>
    <x v="203"/>
    <x v="11"/>
    <x v="0"/>
    <x v="318"/>
    <x v="1"/>
    <x v="16"/>
    <x v="2"/>
    <n v="2"/>
    <n v="304"/>
    <n v="608"/>
    <x v="0"/>
  </r>
  <r>
    <n v="320"/>
    <x v="215"/>
    <x v="4"/>
    <x v="0"/>
    <x v="319"/>
    <x v="1"/>
    <x v="1"/>
    <x v="1"/>
    <n v="3"/>
    <n v="363"/>
    <n v="1089"/>
    <x v="1"/>
  </r>
  <r>
    <n v="321"/>
    <x v="148"/>
    <x v="9"/>
    <x v="0"/>
    <x v="320"/>
    <x v="1"/>
    <x v="24"/>
    <x v="0"/>
    <n v="4"/>
    <n v="110"/>
    <n v="440"/>
    <x v="1"/>
  </r>
  <r>
    <n v="322"/>
    <x v="218"/>
    <x v="8"/>
    <x v="0"/>
    <x v="321"/>
    <x v="1"/>
    <x v="5"/>
    <x v="2"/>
    <n v="1"/>
    <n v="397"/>
    <n v="397"/>
    <x v="0"/>
  </r>
  <r>
    <n v="323"/>
    <x v="91"/>
    <x v="9"/>
    <x v="0"/>
    <x v="322"/>
    <x v="1"/>
    <x v="12"/>
    <x v="0"/>
    <n v="1"/>
    <n v="63"/>
    <n v="63"/>
    <x v="1"/>
  </r>
  <r>
    <n v="324"/>
    <x v="12"/>
    <x v="8"/>
    <x v="0"/>
    <x v="323"/>
    <x v="1"/>
    <x v="37"/>
    <x v="0"/>
    <n v="2"/>
    <n v="40"/>
    <n v="80"/>
    <x v="0"/>
  </r>
  <r>
    <n v="325"/>
    <x v="142"/>
    <x v="10"/>
    <x v="0"/>
    <x v="324"/>
    <x v="1"/>
    <x v="8"/>
    <x v="1"/>
    <n v="1"/>
    <n v="145"/>
    <n v="145"/>
    <x v="1"/>
  </r>
  <r>
    <n v="326"/>
    <x v="219"/>
    <x v="0"/>
    <x v="0"/>
    <x v="325"/>
    <x v="1"/>
    <x v="37"/>
    <x v="2"/>
    <n v="1"/>
    <n v="334"/>
    <n v="334"/>
    <x v="0"/>
  </r>
  <r>
    <n v="327"/>
    <x v="190"/>
    <x v="10"/>
    <x v="0"/>
    <x v="326"/>
    <x v="1"/>
    <x v="37"/>
    <x v="2"/>
    <n v="4"/>
    <n v="415"/>
    <n v="1660"/>
    <x v="1"/>
  </r>
  <r>
    <n v="328"/>
    <x v="185"/>
    <x v="11"/>
    <x v="0"/>
    <x v="327"/>
    <x v="0"/>
    <x v="18"/>
    <x v="2"/>
    <n v="4"/>
    <n v="185"/>
    <n v="740"/>
    <x v="0"/>
  </r>
  <r>
    <n v="329"/>
    <x v="32"/>
    <x v="0"/>
    <x v="0"/>
    <x v="328"/>
    <x v="1"/>
    <x v="14"/>
    <x v="1"/>
    <n v="1"/>
    <n v="401"/>
    <n v="401"/>
    <x v="0"/>
  </r>
  <r>
    <n v="330"/>
    <x v="44"/>
    <x v="1"/>
    <x v="0"/>
    <x v="329"/>
    <x v="1"/>
    <x v="18"/>
    <x v="2"/>
    <n v="1"/>
    <n v="159"/>
    <n v="159"/>
    <x v="1"/>
  </r>
  <r>
    <n v="331"/>
    <x v="95"/>
    <x v="4"/>
    <x v="0"/>
    <x v="330"/>
    <x v="1"/>
    <x v="4"/>
    <x v="0"/>
    <n v="3"/>
    <n v="380"/>
    <n v="1140"/>
    <x v="1"/>
  </r>
  <r>
    <n v="332"/>
    <x v="130"/>
    <x v="3"/>
    <x v="0"/>
    <x v="331"/>
    <x v="0"/>
    <x v="41"/>
    <x v="1"/>
    <n v="1"/>
    <n v="256"/>
    <n v="256"/>
    <x v="2"/>
  </r>
  <r>
    <n v="333"/>
    <x v="220"/>
    <x v="10"/>
    <x v="0"/>
    <x v="332"/>
    <x v="1"/>
    <x v="16"/>
    <x v="0"/>
    <n v="3"/>
    <n v="366"/>
    <n v="1098"/>
    <x v="1"/>
  </r>
  <r>
    <n v="334"/>
    <x v="221"/>
    <x v="9"/>
    <x v="0"/>
    <x v="333"/>
    <x v="0"/>
    <x v="2"/>
    <x v="0"/>
    <n v="3"/>
    <n v="481"/>
    <n v="1443"/>
    <x v="1"/>
  </r>
  <r>
    <n v="335"/>
    <x v="222"/>
    <x v="9"/>
    <x v="0"/>
    <x v="334"/>
    <x v="0"/>
    <x v="23"/>
    <x v="0"/>
    <n v="2"/>
    <n v="431"/>
    <n v="862"/>
    <x v="1"/>
  </r>
  <r>
    <n v="336"/>
    <x v="160"/>
    <x v="5"/>
    <x v="0"/>
    <x v="335"/>
    <x v="0"/>
    <x v="41"/>
    <x v="1"/>
    <n v="2"/>
    <n v="146"/>
    <n v="292"/>
    <x v="2"/>
  </r>
  <r>
    <n v="337"/>
    <x v="223"/>
    <x v="3"/>
    <x v="0"/>
    <x v="336"/>
    <x v="0"/>
    <x v="37"/>
    <x v="0"/>
    <n v="3"/>
    <n v="264"/>
    <n v="792"/>
    <x v="2"/>
  </r>
  <r>
    <n v="338"/>
    <x v="8"/>
    <x v="7"/>
    <x v="0"/>
    <x v="337"/>
    <x v="0"/>
    <x v="35"/>
    <x v="1"/>
    <n v="1"/>
    <n v="183"/>
    <n v="183"/>
    <x v="2"/>
  </r>
  <r>
    <n v="339"/>
    <x v="161"/>
    <x v="5"/>
    <x v="0"/>
    <x v="338"/>
    <x v="1"/>
    <x v="18"/>
    <x v="2"/>
    <n v="4"/>
    <n v="446"/>
    <n v="1784"/>
    <x v="2"/>
  </r>
  <r>
    <n v="340"/>
    <x v="224"/>
    <x v="7"/>
    <x v="0"/>
    <x v="339"/>
    <x v="0"/>
    <x v="43"/>
    <x v="2"/>
    <n v="1"/>
    <n v="255"/>
    <n v="255"/>
    <x v="2"/>
  </r>
  <r>
    <n v="341"/>
    <x v="90"/>
    <x v="2"/>
    <x v="0"/>
    <x v="340"/>
    <x v="1"/>
    <x v="43"/>
    <x v="0"/>
    <n v="2"/>
    <n v="418"/>
    <n v="836"/>
    <x v="2"/>
  </r>
  <r>
    <n v="342"/>
    <x v="225"/>
    <x v="10"/>
    <x v="0"/>
    <x v="341"/>
    <x v="1"/>
    <x v="26"/>
    <x v="1"/>
    <n v="1"/>
    <n v="290"/>
    <n v="290"/>
    <x v="1"/>
  </r>
  <r>
    <n v="343"/>
    <x v="190"/>
    <x v="10"/>
    <x v="0"/>
    <x v="342"/>
    <x v="1"/>
    <x v="10"/>
    <x v="1"/>
    <n v="3"/>
    <n v="388"/>
    <n v="1164"/>
    <x v="1"/>
  </r>
  <r>
    <n v="344"/>
    <x v="153"/>
    <x v="1"/>
    <x v="0"/>
    <x v="343"/>
    <x v="1"/>
    <x v="18"/>
    <x v="2"/>
    <n v="1"/>
    <n v="153"/>
    <n v="153"/>
    <x v="1"/>
  </r>
  <r>
    <n v="345"/>
    <x v="226"/>
    <x v="1"/>
    <x v="0"/>
    <x v="344"/>
    <x v="1"/>
    <x v="43"/>
    <x v="0"/>
    <n v="3"/>
    <n v="339"/>
    <n v="1017"/>
    <x v="1"/>
  </r>
  <r>
    <n v="346"/>
    <x v="227"/>
    <x v="7"/>
    <x v="0"/>
    <x v="345"/>
    <x v="0"/>
    <x v="26"/>
    <x v="0"/>
    <n v="2"/>
    <n v="328"/>
    <n v="656"/>
    <x v="2"/>
  </r>
  <r>
    <n v="347"/>
    <x v="68"/>
    <x v="7"/>
    <x v="0"/>
    <x v="346"/>
    <x v="0"/>
    <x v="10"/>
    <x v="0"/>
    <n v="3"/>
    <n v="456"/>
    <n v="1368"/>
    <x v="2"/>
  </r>
  <r>
    <n v="348"/>
    <x v="191"/>
    <x v="7"/>
    <x v="0"/>
    <x v="347"/>
    <x v="0"/>
    <x v="0"/>
    <x v="1"/>
    <n v="1"/>
    <n v="353"/>
    <n v="353"/>
    <x v="2"/>
  </r>
  <r>
    <n v="349"/>
    <x v="70"/>
    <x v="7"/>
    <x v="0"/>
    <x v="348"/>
    <x v="1"/>
    <x v="19"/>
    <x v="1"/>
    <n v="4"/>
    <n v="341"/>
    <n v="1364"/>
    <x v="2"/>
  </r>
  <r>
    <n v="350"/>
    <x v="0"/>
    <x v="0"/>
    <x v="0"/>
    <x v="349"/>
    <x v="0"/>
    <x v="45"/>
    <x v="0"/>
    <n v="3"/>
    <n v="353"/>
    <n v="1059"/>
    <x v="0"/>
  </r>
  <r>
    <n v="351"/>
    <x v="228"/>
    <x v="9"/>
    <x v="0"/>
    <x v="350"/>
    <x v="1"/>
    <x v="14"/>
    <x v="0"/>
    <n v="4"/>
    <n v="177"/>
    <n v="708"/>
    <x v="1"/>
  </r>
  <r>
    <n v="352"/>
    <x v="11"/>
    <x v="2"/>
    <x v="0"/>
    <x v="351"/>
    <x v="0"/>
    <x v="11"/>
    <x v="1"/>
    <n v="2"/>
    <n v="250"/>
    <n v="500"/>
    <x v="2"/>
  </r>
  <r>
    <n v="353"/>
    <x v="79"/>
    <x v="2"/>
    <x v="0"/>
    <x v="352"/>
    <x v="1"/>
    <x v="20"/>
    <x v="1"/>
    <n v="3"/>
    <n v="335"/>
    <n v="1005"/>
    <x v="2"/>
  </r>
  <r>
    <n v="354"/>
    <x v="142"/>
    <x v="10"/>
    <x v="0"/>
    <x v="353"/>
    <x v="1"/>
    <x v="23"/>
    <x v="2"/>
    <n v="3"/>
    <n v="229"/>
    <n v="687"/>
    <x v="1"/>
  </r>
  <r>
    <n v="355"/>
    <x v="225"/>
    <x v="10"/>
    <x v="0"/>
    <x v="354"/>
    <x v="1"/>
    <x v="26"/>
    <x v="0"/>
    <n v="1"/>
    <n v="188"/>
    <n v="188"/>
    <x v="1"/>
  </r>
  <r>
    <n v="356"/>
    <x v="229"/>
    <x v="4"/>
    <x v="0"/>
    <x v="355"/>
    <x v="1"/>
    <x v="41"/>
    <x v="2"/>
    <n v="4"/>
    <n v="151"/>
    <n v="604"/>
    <x v="1"/>
  </r>
  <r>
    <n v="357"/>
    <x v="230"/>
    <x v="10"/>
    <x v="0"/>
    <x v="356"/>
    <x v="0"/>
    <x v="21"/>
    <x v="2"/>
    <n v="4"/>
    <n v="467"/>
    <n v="1868"/>
    <x v="1"/>
  </r>
  <r>
    <n v="358"/>
    <x v="231"/>
    <x v="0"/>
    <x v="0"/>
    <x v="357"/>
    <x v="1"/>
    <x v="14"/>
    <x v="1"/>
    <n v="3"/>
    <n v="320"/>
    <n v="960"/>
    <x v="0"/>
  </r>
  <r>
    <n v="359"/>
    <x v="69"/>
    <x v="9"/>
    <x v="0"/>
    <x v="358"/>
    <x v="0"/>
    <x v="10"/>
    <x v="2"/>
    <n v="4"/>
    <n v="280"/>
    <n v="1120"/>
    <x v="1"/>
  </r>
  <r>
    <n v="360"/>
    <x v="28"/>
    <x v="9"/>
    <x v="0"/>
    <x v="359"/>
    <x v="1"/>
    <x v="0"/>
    <x v="1"/>
    <n v="4"/>
    <n v="283"/>
    <n v="1132"/>
    <x v="1"/>
  </r>
  <r>
    <n v="361"/>
    <x v="48"/>
    <x v="2"/>
    <x v="0"/>
    <x v="360"/>
    <x v="0"/>
    <x v="4"/>
    <x v="0"/>
    <n v="3"/>
    <n v="49"/>
    <n v="147"/>
    <x v="2"/>
  </r>
  <r>
    <n v="362"/>
    <x v="232"/>
    <x v="6"/>
    <x v="0"/>
    <x v="361"/>
    <x v="1"/>
    <x v="45"/>
    <x v="0"/>
    <n v="4"/>
    <n v="171"/>
    <n v="684"/>
    <x v="0"/>
  </r>
  <r>
    <n v="363"/>
    <x v="67"/>
    <x v="7"/>
    <x v="0"/>
    <x v="362"/>
    <x v="0"/>
    <x v="1"/>
    <x v="2"/>
    <n v="2"/>
    <n v="476"/>
    <n v="952"/>
    <x v="2"/>
  </r>
  <r>
    <n v="364"/>
    <x v="18"/>
    <x v="4"/>
    <x v="0"/>
    <x v="363"/>
    <x v="1"/>
    <x v="13"/>
    <x v="2"/>
    <n v="1"/>
    <n v="230"/>
    <n v="230"/>
    <x v="1"/>
  </r>
  <r>
    <n v="365"/>
    <x v="172"/>
    <x v="6"/>
    <x v="0"/>
    <x v="364"/>
    <x v="0"/>
    <x v="37"/>
    <x v="0"/>
    <n v="3"/>
    <n v="62"/>
    <n v="186"/>
    <x v="0"/>
  </r>
  <r>
    <n v="366"/>
    <x v="204"/>
    <x v="5"/>
    <x v="0"/>
    <x v="365"/>
    <x v="1"/>
    <x v="2"/>
    <x v="2"/>
    <n v="1"/>
    <n v="90"/>
    <n v="90"/>
    <x v="2"/>
  </r>
  <r>
    <n v="367"/>
    <x v="150"/>
    <x v="11"/>
    <x v="0"/>
    <x v="366"/>
    <x v="1"/>
    <x v="37"/>
    <x v="2"/>
    <n v="3"/>
    <n v="411"/>
    <n v="1233"/>
    <x v="0"/>
  </r>
  <r>
    <n v="368"/>
    <x v="142"/>
    <x v="10"/>
    <x v="0"/>
    <x v="367"/>
    <x v="0"/>
    <x v="32"/>
    <x v="0"/>
    <n v="4"/>
    <n v="281"/>
    <n v="1124"/>
    <x v="1"/>
  </r>
  <r>
    <n v="369"/>
    <x v="233"/>
    <x v="6"/>
    <x v="0"/>
    <x v="368"/>
    <x v="0"/>
    <x v="8"/>
    <x v="1"/>
    <n v="3"/>
    <n v="436"/>
    <n v="1308"/>
    <x v="0"/>
  </r>
  <r>
    <n v="370"/>
    <x v="37"/>
    <x v="2"/>
    <x v="0"/>
    <x v="369"/>
    <x v="1"/>
    <x v="30"/>
    <x v="0"/>
    <n v="2"/>
    <n v="192"/>
    <n v="384"/>
    <x v="2"/>
  </r>
  <r>
    <n v="371"/>
    <x v="234"/>
    <x v="0"/>
    <x v="0"/>
    <x v="370"/>
    <x v="1"/>
    <x v="10"/>
    <x v="2"/>
    <n v="3"/>
    <n v="328"/>
    <n v="984"/>
    <x v="0"/>
  </r>
  <r>
    <n v="372"/>
    <x v="96"/>
    <x v="9"/>
    <x v="0"/>
    <x v="371"/>
    <x v="1"/>
    <x v="23"/>
    <x v="0"/>
    <n v="3"/>
    <n v="268"/>
    <n v="804"/>
    <x v="1"/>
  </r>
  <r>
    <n v="373"/>
    <x v="109"/>
    <x v="6"/>
    <x v="0"/>
    <x v="372"/>
    <x v="1"/>
    <x v="44"/>
    <x v="0"/>
    <n v="1"/>
    <n v="238"/>
    <n v="238"/>
    <x v="0"/>
  </r>
  <r>
    <n v="374"/>
    <x v="235"/>
    <x v="7"/>
    <x v="0"/>
    <x v="373"/>
    <x v="1"/>
    <x v="46"/>
    <x v="0"/>
    <n v="1"/>
    <n v="330"/>
    <n v="330"/>
    <x v="2"/>
  </r>
  <r>
    <n v="375"/>
    <x v="37"/>
    <x v="2"/>
    <x v="0"/>
    <x v="374"/>
    <x v="1"/>
    <x v="19"/>
    <x v="0"/>
    <n v="2"/>
    <n v="394"/>
    <n v="788"/>
    <x v="2"/>
  </r>
  <r>
    <n v="376"/>
    <x v="172"/>
    <x v="6"/>
    <x v="0"/>
    <x v="375"/>
    <x v="1"/>
    <x v="10"/>
    <x v="0"/>
    <n v="4"/>
    <n v="100"/>
    <n v="400"/>
    <x v="0"/>
  </r>
  <r>
    <n v="377"/>
    <x v="236"/>
    <x v="8"/>
    <x v="0"/>
    <x v="376"/>
    <x v="0"/>
    <x v="8"/>
    <x v="0"/>
    <n v="1"/>
    <n v="122"/>
    <n v="122"/>
    <x v="0"/>
  </r>
  <r>
    <n v="378"/>
    <x v="237"/>
    <x v="6"/>
    <x v="0"/>
    <x v="377"/>
    <x v="1"/>
    <x v="31"/>
    <x v="2"/>
    <n v="2"/>
    <n v="236"/>
    <n v="472"/>
    <x v="0"/>
  </r>
  <r>
    <n v="379"/>
    <x v="218"/>
    <x v="8"/>
    <x v="0"/>
    <x v="378"/>
    <x v="0"/>
    <x v="38"/>
    <x v="0"/>
    <n v="4"/>
    <n v="471"/>
    <n v="1884"/>
    <x v="0"/>
  </r>
  <r>
    <n v="380"/>
    <x v="238"/>
    <x v="11"/>
    <x v="0"/>
    <x v="379"/>
    <x v="0"/>
    <x v="18"/>
    <x v="1"/>
    <n v="3"/>
    <n v="364"/>
    <n v="1092"/>
    <x v="0"/>
  </r>
  <r>
    <n v="381"/>
    <x v="43"/>
    <x v="3"/>
    <x v="0"/>
    <x v="380"/>
    <x v="1"/>
    <x v="31"/>
    <x v="1"/>
    <n v="4"/>
    <n v="492"/>
    <n v="1968"/>
    <x v="2"/>
  </r>
  <r>
    <n v="382"/>
    <x v="239"/>
    <x v="3"/>
    <x v="0"/>
    <x v="381"/>
    <x v="1"/>
    <x v="6"/>
    <x v="2"/>
    <n v="3"/>
    <n v="337"/>
    <n v="1011"/>
    <x v="2"/>
  </r>
  <r>
    <n v="383"/>
    <x v="147"/>
    <x v="3"/>
    <x v="0"/>
    <x v="382"/>
    <x v="0"/>
    <x v="14"/>
    <x v="2"/>
    <n v="3"/>
    <n v="140"/>
    <n v="420"/>
    <x v="2"/>
  </r>
  <r>
    <n v="384"/>
    <x v="240"/>
    <x v="9"/>
    <x v="0"/>
    <x v="383"/>
    <x v="1"/>
    <x v="23"/>
    <x v="1"/>
    <n v="4"/>
    <n v="187"/>
    <n v="748"/>
    <x v="1"/>
  </r>
  <r>
    <n v="385"/>
    <x v="164"/>
    <x v="3"/>
    <x v="0"/>
    <x v="384"/>
    <x v="1"/>
    <x v="2"/>
    <x v="0"/>
    <n v="3"/>
    <n v="172"/>
    <n v="516"/>
    <x v="2"/>
  </r>
  <r>
    <n v="386"/>
    <x v="171"/>
    <x v="10"/>
    <x v="0"/>
    <x v="385"/>
    <x v="1"/>
    <x v="13"/>
    <x v="2"/>
    <n v="2"/>
    <n v="173"/>
    <n v="346"/>
    <x v="1"/>
  </r>
  <r>
    <n v="387"/>
    <x v="241"/>
    <x v="6"/>
    <x v="0"/>
    <x v="386"/>
    <x v="1"/>
    <x v="23"/>
    <x v="1"/>
    <n v="3"/>
    <n v="498"/>
    <n v="1494"/>
    <x v="0"/>
  </r>
  <r>
    <n v="388"/>
    <x v="75"/>
    <x v="2"/>
    <x v="0"/>
    <x v="387"/>
    <x v="1"/>
    <x v="40"/>
    <x v="1"/>
    <n v="2"/>
    <n v="448"/>
    <n v="896"/>
    <x v="2"/>
  </r>
  <r>
    <n v="389"/>
    <x v="105"/>
    <x v="7"/>
    <x v="0"/>
    <x v="388"/>
    <x v="1"/>
    <x v="2"/>
    <x v="0"/>
    <n v="3"/>
    <n v="95"/>
    <n v="285"/>
    <x v="2"/>
  </r>
  <r>
    <n v="390"/>
    <x v="40"/>
    <x v="11"/>
    <x v="0"/>
    <x v="389"/>
    <x v="0"/>
    <x v="14"/>
    <x v="1"/>
    <n v="2"/>
    <n v="351"/>
    <n v="702"/>
    <x v="0"/>
  </r>
  <r>
    <n v="391"/>
    <x v="242"/>
    <x v="1"/>
    <x v="0"/>
    <x v="390"/>
    <x v="0"/>
    <x v="1"/>
    <x v="2"/>
    <n v="3"/>
    <n v="392"/>
    <n v="1176"/>
    <x v="1"/>
  </r>
  <r>
    <n v="392"/>
    <x v="205"/>
    <x v="2"/>
    <x v="0"/>
    <x v="391"/>
    <x v="0"/>
    <x v="17"/>
    <x v="1"/>
    <n v="1"/>
    <n v="306"/>
    <n v="306"/>
    <x v="2"/>
  </r>
  <r>
    <n v="393"/>
    <x v="175"/>
    <x v="10"/>
    <x v="0"/>
    <x v="392"/>
    <x v="1"/>
    <x v="19"/>
    <x v="2"/>
    <n v="4"/>
    <n v="358"/>
    <n v="1432"/>
    <x v="1"/>
  </r>
  <r>
    <n v="394"/>
    <x v="64"/>
    <x v="1"/>
    <x v="0"/>
    <x v="393"/>
    <x v="1"/>
    <x v="31"/>
    <x v="2"/>
    <n v="1"/>
    <n v="489"/>
    <n v="489"/>
    <x v="1"/>
  </r>
  <r>
    <n v="395"/>
    <x v="133"/>
    <x v="11"/>
    <x v="0"/>
    <x v="394"/>
    <x v="0"/>
    <x v="6"/>
    <x v="0"/>
    <n v="1"/>
    <n v="492"/>
    <n v="492"/>
    <x v="0"/>
  </r>
  <r>
    <n v="396"/>
    <x v="73"/>
    <x v="10"/>
    <x v="0"/>
    <x v="395"/>
    <x v="1"/>
    <x v="36"/>
    <x v="1"/>
    <n v="4"/>
    <n v="428"/>
    <n v="1712"/>
    <x v="1"/>
  </r>
  <r>
    <n v="397"/>
    <x v="132"/>
    <x v="3"/>
    <x v="0"/>
    <x v="396"/>
    <x v="0"/>
    <x v="39"/>
    <x v="1"/>
    <n v="1"/>
    <n v="177"/>
    <n v="177"/>
    <x v="2"/>
  </r>
  <r>
    <n v="398"/>
    <x v="176"/>
    <x v="7"/>
    <x v="0"/>
    <x v="397"/>
    <x v="0"/>
    <x v="44"/>
    <x v="2"/>
    <n v="4"/>
    <n v="353"/>
    <n v="1412"/>
    <x v="2"/>
  </r>
  <r>
    <n v="399"/>
    <x v="210"/>
    <x v="7"/>
    <x v="0"/>
    <x v="398"/>
    <x v="1"/>
    <x v="43"/>
    <x v="0"/>
    <n v="4"/>
    <n v="164"/>
    <n v="656"/>
    <x v="2"/>
  </r>
  <r>
    <n v="400"/>
    <x v="9"/>
    <x v="1"/>
    <x v="0"/>
    <x v="399"/>
    <x v="0"/>
    <x v="44"/>
    <x v="1"/>
    <n v="4"/>
    <n v="356"/>
    <n v="1424"/>
    <x v="1"/>
  </r>
  <r>
    <n v="401"/>
    <x v="97"/>
    <x v="4"/>
    <x v="0"/>
    <x v="400"/>
    <x v="0"/>
    <x v="3"/>
    <x v="0"/>
    <n v="3"/>
    <n v="429"/>
    <n v="1287"/>
    <x v="1"/>
  </r>
  <r>
    <n v="402"/>
    <x v="148"/>
    <x v="9"/>
    <x v="0"/>
    <x v="401"/>
    <x v="0"/>
    <x v="36"/>
    <x v="0"/>
    <n v="4"/>
    <n v="448"/>
    <n v="1792"/>
    <x v="1"/>
  </r>
  <r>
    <n v="403"/>
    <x v="243"/>
    <x v="2"/>
    <x v="0"/>
    <x v="402"/>
    <x v="1"/>
    <x v="16"/>
    <x v="2"/>
    <n v="1"/>
    <n v="119"/>
    <n v="119"/>
    <x v="2"/>
  </r>
  <r>
    <n v="404"/>
    <x v="244"/>
    <x v="10"/>
    <x v="0"/>
    <x v="403"/>
    <x v="1"/>
    <x v="31"/>
    <x v="1"/>
    <n v="1"/>
    <n v="158"/>
    <n v="158"/>
    <x v="1"/>
  </r>
  <r>
    <n v="405"/>
    <x v="245"/>
    <x v="5"/>
    <x v="0"/>
    <x v="404"/>
    <x v="0"/>
    <x v="24"/>
    <x v="2"/>
    <n v="3"/>
    <n v="179"/>
    <n v="537"/>
    <x v="2"/>
  </r>
  <r>
    <n v="406"/>
    <x v="235"/>
    <x v="7"/>
    <x v="0"/>
    <x v="405"/>
    <x v="0"/>
    <x v="22"/>
    <x v="0"/>
    <n v="3"/>
    <n v="379"/>
    <n v="1137"/>
    <x v="2"/>
  </r>
  <r>
    <n v="407"/>
    <x v="77"/>
    <x v="4"/>
    <x v="0"/>
    <x v="406"/>
    <x v="0"/>
    <x v="33"/>
    <x v="1"/>
    <n v="4"/>
    <n v="182"/>
    <n v="728"/>
    <x v="1"/>
  </r>
  <r>
    <n v="408"/>
    <x v="63"/>
    <x v="10"/>
    <x v="0"/>
    <x v="407"/>
    <x v="1"/>
    <x v="17"/>
    <x v="0"/>
    <n v="3"/>
    <n v="378"/>
    <n v="1134"/>
    <x v="1"/>
  </r>
  <r>
    <n v="409"/>
    <x v="137"/>
    <x v="10"/>
    <x v="0"/>
    <x v="408"/>
    <x v="1"/>
    <x v="37"/>
    <x v="0"/>
    <n v="2"/>
    <n v="137"/>
    <n v="274"/>
    <x v="1"/>
  </r>
  <r>
    <n v="410"/>
    <x v="246"/>
    <x v="10"/>
    <x v="0"/>
    <x v="409"/>
    <x v="1"/>
    <x v="30"/>
    <x v="2"/>
    <n v="3"/>
    <n v="237"/>
    <n v="711"/>
    <x v="1"/>
  </r>
  <r>
    <n v="411"/>
    <x v="111"/>
    <x v="8"/>
    <x v="0"/>
    <x v="410"/>
    <x v="1"/>
    <x v="6"/>
    <x v="0"/>
    <n v="2"/>
    <n v="415"/>
    <n v="830"/>
    <x v="0"/>
  </r>
  <r>
    <n v="412"/>
    <x v="33"/>
    <x v="4"/>
    <x v="0"/>
    <x v="411"/>
    <x v="0"/>
    <x v="18"/>
    <x v="2"/>
    <n v="3"/>
    <n v="64"/>
    <n v="192"/>
    <x v="1"/>
  </r>
  <r>
    <n v="413"/>
    <x v="191"/>
    <x v="7"/>
    <x v="0"/>
    <x v="412"/>
    <x v="0"/>
    <x v="21"/>
    <x v="0"/>
    <n v="2"/>
    <n v="318"/>
    <n v="636"/>
    <x v="2"/>
  </r>
  <r>
    <n v="414"/>
    <x v="67"/>
    <x v="7"/>
    <x v="0"/>
    <x v="413"/>
    <x v="0"/>
    <x v="10"/>
    <x v="2"/>
    <n v="4"/>
    <n v="84"/>
    <n v="336"/>
    <x v="2"/>
  </r>
  <r>
    <n v="415"/>
    <x v="236"/>
    <x v="8"/>
    <x v="0"/>
    <x v="414"/>
    <x v="0"/>
    <x v="23"/>
    <x v="0"/>
    <n v="4"/>
    <n v="71"/>
    <n v="284"/>
    <x v="0"/>
  </r>
  <r>
    <n v="416"/>
    <x v="188"/>
    <x v="3"/>
    <x v="0"/>
    <x v="415"/>
    <x v="1"/>
    <x v="21"/>
    <x v="2"/>
    <n v="2"/>
    <n v="287"/>
    <n v="574"/>
    <x v="2"/>
  </r>
  <r>
    <n v="417"/>
    <x v="79"/>
    <x v="2"/>
    <x v="0"/>
    <x v="416"/>
    <x v="1"/>
    <x v="42"/>
    <x v="1"/>
    <n v="4"/>
    <n v="369"/>
    <n v="1476"/>
    <x v="2"/>
  </r>
  <r>
    <n v="418"/>
    <x v="28"/>
    <x v="9"/>
    <x v="0"/>
    <x v="417"/>
    <x v="0"/>
    <x v="13"/>
    <x v="2"/>
    <n v="1"/>
    <n v="406"/>
    <n v="406"/>
    <x v="1"/>
  </r>
  <r>
    <n v="419"/>
    <x v="247"/>
    <x v="1"/>
    <x v="0"/>
    <x v="418"/>
    <x v="0"/>
    <x v="8"/>
    <x v="2"/>
    <n v="3"/>
    <n v="383"/>
    <n v="1149"/>
    <x v="1"/>
  </r>
  <r>
    <n v="420"/>
    <x v="248"/>
    <x v="11"/>
    <x v="0"/>
    <x v="419"/>
    <x v="0"/>
    <x v="25"/>
    <x v="2"/>
    <n v="1"/>
    <n v="171"/>
    <n v="171"/>
    <x v="0"/>
  </r>
  <r>
    <n v="421"/>
    <x v="123"/>
    <x v="5"/>
    <x v="0"/>
    <x v="420"/>
    <x v="0"/>
    <x v="43"/>
    <x v="0"/>
    <n v="4"/>
    <n v="216"/>
    <n v="864"/>
    <x v="2"/>
  </r>
  <r>
    <n v="422"/>
    <x v="22"/>
    <x v="5"/>
    <x v="0"/>
    <x v="421"/>
    <x v="1"/>
    <x v="29"/>
    <x v="2"/>
    <n v="1"/>
    <n v="374"/>
    <n v="374"/>
    <x v="2"/>
  </r>
  <r>
    <n v="423"/>
    <x v="178"/>
    <x v="8"/>
    <x v="0"/>
    <x v="422"/>
    <x v="0"/>
    <x v="19"/>
    <x v="2"/>
    <n v="1"/>
    <n v="116"/>
    <n v="116"/>
    <x v="0"/>
  </r>
  <r>
    <n v="424"/>
    <x v="105"/>
    <x v="7"/>
    <x v="0"/>
    <x v="423"/>
    <x v="1"/>
    <x v="18"/>
    <x v="1"/>
    <n v="2"/>
    <n v="452"/>
    <n v="904"/>
    <x v="2"/>
  </r>
  <r>
    <n v="425"/>
    <x v="140"/>
    <x v="6"/>
    <x v="0"/>
    <x v="424"/>
    <x v="0"/>
    <x v="34"/>
    <x v="2"/>
    <n v="4"/>
    <n v="297"/>
    <n v="1188"/>
    <x v="0"/>
  </r>
  <r>
    <n v="426"/>
    <x v="6"/>
    <x v="5"/>
    <x v="0"/>
    <x v="425"/>
    <x v="0"/>
    <x v="14"/>
    <x v="2"/>
    <n v="3"/>
    <n v="104"/>
    <n v="312"/>
    <x v="2"/>
  </r>
  <r>
    <n v="427"/>
    <x v="54"/>
    <x v="4"/>
    <x v="0"/>
    <x v="426"/>
    <x v="0"/>
    <x v="46"/>
    <x v="1"/>
    <n v="1"/>
    <n v="439"/>
    <n v="439"/>
    <x v="1"/>
  </r>
  <r>
    <n v="428"/>
    <x v="178"/>
    <x v="8"/>
    <x v="0"/>
    <x v="427"/>
    <x v="1"/>
    <x v="35"/>
    <x v="1"/>
    <n v="2"/>
    <n v="130"/>
    <n v="260"/>
    <x v="0"/>
  </r>
  <r>
    <n v="429"/>
    <x v="212"/>
    <x v="11"/>
    <x v="0"/>
    <x v="428"/>
    <x v="0"/>
    <x v="32"/>
    <x v="1"/>
    <n v="4"/>
    <n v="331"/>
    <n v="1324"/>
    <x v="0"/>
  </r>
  <r>
    <n v="430"/>
    <x v="128"/>
    <x v="8"/>
    <x v="0"/>
    <x v="429"/>
    <x v="0"/>
    <x v="14"/>
    <x v="0"/>
    <n v="1"/>
    <n v="230"/>
    <n v="230"/>
    <x v="0"/>
  </r>
  <r>
    <n v="431"/>
    <x v="200"/>
    <x v="2"/>
    <x v="0"/>
    <x v="430"/>
    <x v="0"/>
    <x v="6"/>
    <x v="1"/>
    <n v="1"/>
    <n v="96"/>
    <n v="96"/>
    <x v="2"/>
  </r>
  <r>
    <n v="432"/>
    <x v="249"/>
    <x v="3"/>
    <x v="0"/>
    <x v="431"/>
    <x v="1"/>
    <x v="9"/>
    <x v="0"/>
    <n v="3"/>
    <n v="320"/>
    <n v="960"/>
    <x v="2"/>
  </r>
  <r>
    <n v="433"/>
    <x v="250"/>
    <x v="0"/>
    <x v="0"/>
    <x v="432"/>
    <x v="1"/>
    <x v="14"/>
    <x v="2"/>
    <n v="2"/>
    <n v="363"/>
    <n v="726"/>
    <x v="0"/>
  </r>
  <r>
    <n v="434"/>
    <x v="71"/>
    <x v="3"/>
    <x v="0"/>
    <x v="433"/>
    <x v="0"/>
    <x v="38"/>
    <x v="2"/>
    <n v="3"/>
    <n v="56"/>
    <n v="168"/>
    <x v="2"/>
  </r>
  <r>
    <n v="435"/>
    <x v="82"/>
    <x v="7"/>
    <x v="0"/>
    <x v="434"/>
    <x v="0"/>
    <x v="7"/>
    <x v="0"/>
    <n v="4"/>
    <n v="309"/>
    <n v="1236"/>
    <x v="2"/>
  </r>
  <r>
    <n v="436"/>
    <x v="132"/>
    <x v="3"/>
    <x v="0"/>
    <x v="435"/>
    <x v="0"/>
    <x v="5"/>
    <x v="0"/>
    <n v="4"/>
    <n v="427"/>
    <n v="1708"/>
    <x v="2"/>
  </r>
  <r>
    <n v="437"/>
    <x v="196"/>
    <x v="3"/>
    <x v="0"/>
    <x v="436"/>
    <x v="1"/>
    <x v="11"/>
    <x v="2"/>
    <n v="4"/>
    <n v="101"/>
    <n v="404"/>
    <x v="2"/>
  </r>
  <r>
    <n v="438"/>
    <x v="222"/>
    <x v="9"/>
    <x v="0"/>
    <x v="437"/>
    <x v="1"/>
    <x v="36"/>
    <x v="0"/>
    <n v="4"/>
    <n v="148"/>
    <n v="592"/>
    <x v="1"/>
  </r>
  <r>
    <n v="883"/>
    <x v="251"/>
    <x v="5"/>
    <x v="0"/>
    <x v="438"/>
    <x v="0"/>
    <x v="16"/>
    <x v="1"/>
    <n v="4"/>
    <n v="499"/>
    <n v="1996"/>
    <x v="2"/>
  </r>
  <r>
    <n v="440"/>
    <x v="42"/>
    <x v="6"/>
    <x v="0"/>
    <x v="439"/>
    <x v="1"/>
    <x v="38"/>
    <x v="0"/>
    <n v="2"/>
    <n v="223"/>
    <n v="446"/>
    <x v="0"/>
  </r>
  <r>
    <n v="441"/>
    <x v="110"/>
    <x v="4"/>
    <x v="0"/>
    <x v="440"/>
    <x v="1"/>
    <x v="4"/>
    <x v="2"/>
    <n v="1"/>
    <n v="497"/>
    <n v="497"/>
    <x v="1"/>
  </r>
  <r>
    <n v="442"/>
    <x v="252"/>
    <x v="2"/>
    <x v="0"/>
    <x v="441"/>
    <x v="1"/>
    <x v="16"/>
    <x v="0"/>
    <n v="2"/>
    <n v="51"/>
    <n v="102"/>
    <x v="2"/>
  </r>
  <r>
    <n v="443"/>
    <x v="16"/>
    <x v="4"/>
    <x v="0"/>
    <x v="442"/>
    <x v="1"/>
    <x v="17"/>
    <x v="0"/>
    <n v="1"/>
    <n v="472"/>
    <n v="472"/>
    <x v="1"/>
  </r>
  <r>
    <n v="444"/>
    <x v="253"/>
    <x v="11"/>
    <x v="0"/>
    <x v="443"/>
    <x v="0"/>
    <x v="15"/>
    <x v="0"/>
    <n v="2"/>
    <n v="270"/>
    <n v="540"/>
    <x v="0"/>
  </r>
  <r>
    <n v="445"/>
    <x v="122"/>
    <x v="1"/>
    <x v="0"/>
    <x v="444"/>
    <x v="1"/>
    <x v="34"/>
    <x v="1"/>
    <n v="2"/>
    <n v="122"/>
    <n v="244"/>
    <x v="1"/>
  </r>
  <r>
    <n v="446"/>
    <x v="137"/>
    <x v="10"/>
    <x v="0"/>
    <x v="445"/>
    <x v="1"/>
    <x v="14"/>
    <x v="0"/>
    <n v="2"/>
    <n v="228"/>
    <n v="456"/>
    <x v="1"/>
  </r>
  <r>
    <n v="447"/>
    <x v="86"/>
    <x v="4"/>
    <x v="0"/>
    <x v="446"/>
    <x v="1"/>
    <x v="39"/>
    <x v="2"/>
    <n v="4"/>
    <n v="298"/>
    <n v="1192"/>
    <x v="1"/>
  </r>
  <r>
    <n v="448"/>
    <x v="32"/>
    <x v="0"/>
    <x v="0"/>
    <x v="447"/>
    <x v="1"/>
    <x v="34"/>
    <x v="2"/>
    <n v="3"/>
    <n v="287"/>
    <n v="861"/>
    <x v="0"/>
  </r>
  <r>
    <n v="449"/>
    <x v="182"/>
    <x v="3"/>
    <x v="0"/>
    <x v="448"/>
    <x v="1"/>
    <x v="1"/>
    <x v="0"/>
    <n v="4"/>
    <n v="414"/>
    <n v="1656"/>
    <x v="2"/>
  </r>
  <r>
    <n v="450"/>
    <x v="254"/>
    <x v="9"/>
    <x v="0"/>
    <x v="449"/>
    <x v="0"/>
    <x v="37"/>
    <x v="2"/>
    <n v="4"/>
    <n v="48"/>
    <n v="192"/>
    <x v="1"/>
  </r>
  <r>
    <n v="451"/>
    <x v="191"/>
    <x v="7"/>
    <x v="0"/>
    <x v="450"/>
    <x v="0"/>
    <x v="30"/>
    <x v="1"/>
    <n v="3"/>
    <n v="308"/>
    <n v="924"/>
    <x v="2"/>
  </r>
  <r>
    <n v="452"/>
    <x v="19"/>
    <x v="7"/>
    <x v="0"/>
    <x v="451"/>
    <x v="1"/>
    <x v="39"/>
    <x v="1"/>
    <n v="2"/>
    <n v="193"/>
    <n v="386"/>
    <x v="2"/>
  </r>
  <r>
    <n v="453"/>
    <x v="255"/>
    <x v="1"/>
    <x v="0"/>
    <x v="452"/>
    <x v="1"/>
    <x v="42"/>
    <x v="1"/>
    <n v="4"/>
    <n v="306"/>
    <n v="1224"/>
    <x v="1"/>
  </r>
  <r>
    <n v="454"/>
    <x v="17"/>
    <x v="8"/>
    <x v="0"/>
    <x v="453"/>
    <x v="1"/>
    <x v="22"/>
    <x v="2"/>
    <n v="4"/>
    <n v="260"/>
    <n v="1040"/>
    <x v="0"/>
  </r>
  <r>
    <n v="455"/>
    <x v="76"/>
    <x v="10"/>
    <x v="0"/>
    <x v="454"/>
    <x v="1"/>
    <x v="10"/>
    <x v="1"/>
    <n v="4"/>
    <n v="119"/>
    <n v="476"/>
    <x v="1"/>
  </r>
  <r>
    <n v="456"/>
    <x v="256"/>
    <x v="7"/>
    <x v="0"/>
    <x v="455"/>
    <x v="0"/>
    <x v="18"/>
    <x v="1"/>
    <n v="1"/>
    <n v="443"/>
    <n v="443"/>
    <x v="2"/>
  </r>
  <r>
    <n v="457"/>
    <x v="257"/>
    <x v="8"/>
    <x v="0"/>
    <x v="456"/>
    <x v="0"/>
    <x v="3"/>
    <x v="2"/>
    <n v="2"/>
    <n v="456"/>
    <n v="912"/>
    <x v="0"/>
  </r>
  <r>
    <n v="458"/>
    <x v="136"/>
    <x v="0"/>
    <x v="0"/>
    <x v="457"/>
    <x v="0"/>
    <x v="25"/>
    <x v="0"/>
    <n v="2"/>
    <n v="29"/>
    <n v="58"/>
    <x v="0"/>
  </r>
  <r>
    <n v="459"/>
    <x v="247"/>
    <x v="1"/>
    <x v="0"/>
    <x v="458"/>
    <x v="1"/>
    <x v="37"/>
    <x v="1"/>
    <n v="4"/>
    <n v="362"/>
    <n v="1448"/>
    <x v="1"/>
  </r>
  <r>
    <n v="460"/>
    <x v="258"/>
    <x v="3"/>
    <x v="0"/>
    <x v="459"/>
    <x v="0"/>
    <x v="3"/>
    <x v="0"/>
    <n v="4"/>
    <n v="31"/>
    <n v="124"/>
    <x v="2"/>
  </r>
  <r>
    <n v="461"/>
    <x v="109"/>
    <x v="6"/>
    <x v="0"/>
    <x v="460"/>
    <x v="1"/>
    <x v="6"/>
    <x v="2"/>
    <n v="1"/>
    <n v="282"/>
    <n v="282"/>
    <x v="0"/>
  </r>
  <r>
    <n v="462"/>
    <x v="259"/>
    <x v="8"/>
    <x v="0"/>
    <x v="461"/>
    <x v="1"/>
    <x v="36"/>
    <x v="1"/>
    <n v="1"/>
    <n v="293"/>
    <n v="293"/>
    <x v="0"/>
  </r>
  <r>
    <n v="463"/>
    <x v="119"/>
    <x v="10"/>
    <x v="0"/>
    <x v="462"/>
    <x v="0"/>
    <x v="27"/>
    <x v="0"/>
    <n v="3"/>
    <n v="442"/>
    <n v="1326"/>
    <x v="1"/>
  </r>
  <r>
    <n v="464"/>
    <x v="260"/>
    <x v="5"/>
    <x v="0"/>
    <x v="463"/>
    <x v="1"/>
    <x v="13"/>
    <x v="1"/>
    <n v="3"/>
    <n v="232"/>
    <n v="696"/>
    <x v="2"/>
  </r>
  <r>
    <n v="465"/>
    <x v="104"/>
    <x v="2"/>
    <x v="0"/>
    <x v="464"/>
    <x v="0"/>
    <x v="11"/>
    <x v="1"/>
    <n v="3"/>
    <n v="375"/>
    <n v="1125"/>
    <x v="2"/>
  </r>
  <r>
    <n v="466"/>
    <x v="46"/>
    <x v="11"/>
    <x v="0"/>
    <x v="465"/>
    <x v="0"/>
    <x v="16"/>
    <x v="2"/>
    <n v="4"/>
    <n v="218"/>
    <n v="872"/>
    <x v="0"/>
  </r>
  <r>
    <n v="467"/>
    <x v="8"/>
    <x v="7"/>
    <x v="0"/>
    <x v="466"/>
    <x v="1"/>
    <x v="21"/>
    <x v="0"/>
    <n v="1"/>
    <n v="384"/>
    <n v="384"/>
    <x v="2"/>
  </r>
  <r>
    <n v="468"/>
    <x v="261"/>
    <x v="10"/>
    <x v="0"/>
    <x v="467"/>
    <x v="0"/>
    <x v="45"/>
    <x v="2"/>
    <n v="3"/>
    <n v="314"/>
    <n v="942"/>
    <x v="1"/>
  </r>
  <r>
    <n v="469"/>
    <x v="262"/>
    <x v="11"/>
    <x v="0"/>
    <x v="468"/>
    <x v="0"/>
    <x v="9"/>
    <x v="1"/>
    <n v="4"/>
    <n v="163"/>
    <n v="652"/>
    <x v="0"/>
  </r>
  <r>
    <n v="470"/>
    <x v="78"/>
    <x v="6"/>
    <x v="0"/>
    <x v="469"/>
    <x v="0"/>
    <x v="17"/>
    <x v="2"/>
    <n v="1"/>
    <n v="116"/>
    <n v="116"/>
    <x v="0"/>
  </r>
  <r>
    <n v="471"/>
    <x v="263"/>
    <x v="9"/>
    <x v="0"/>
    <x v="470"/>
    <x v="0"/>
    <x v="4"/>
    <x v="0"/>
    <n v="2"/>
    <n v="410"/>
    <n v="820"/>
    <x v="1"/>
  </r>
  <r>
    <n v="472"/>
    <x v="165"/>
    <x v="8"/>
    <x v="0"/>
    <x v="471"/>
    <x v="1"/>
    <x v="25"/>
    <x v="2"/>
    <n v="2"/>
    <n v="313"/>
    <n v="626"/>
    <x v="0"/>
  </r>
  <r>
    <n v="473"/>
    <x v="229"/>
    <x v="4"/>
    <x v="0"/>
    <x v="472"/>
    <x v="1"/>
    <x v="17"/>
    <x v="0"/>
    <n v="3"/>
    <n v="221"/>
    <n v="663"/>
    <x v="1"/>
  </r>
  <r>
    <n v="474"/>
    <x v="244"/>
    <x v="10"/>
    <x v="0"/>
    <x v="473"/>
    <x v="0"/>
    <x v="26"/>
    <x v="0"/>
    <n v="3"/>
    <n v="52"/>
    <n v="156"/>
    <x v="1"/>
  </r>
  <r>
    <n v="475"/>
    <x v="144"/>
    <x v="11"/>
    <x v="0"/>
    <x v="474"/>
    <x v="1"/>
    <x v="9"/>
    <x v="1"/>
    <n v="3"/>
    <n v="334"/>
    <n v="1002"/>
    <x v="0"/>
  </r>
  <r>
    <n v="476"/>
    <x v="264"/>
    <x v="0"/>
    <x v="0"/>
    <x v="475"/>
    <x v="1"/>
    <x v="31"/>
    <x v="1"/>
    <n v="3"/>
    <n v="426"/>
    <n v="1278"/>
    <x v="0"/>
  </r>
  <r>
    <n v="477"/>
    <x v="252"/>
    <x v="2"/>
    <x v="0"/>
    <x v="476"/>
    <x v="1"/>
    <x v="9"/>
    <x v="2"/>
    <n v="4"/>
    <n v="246"/>
    <n v="984"/>
    <x v="2"/>
  </r>
  <r>
    <n v="478"/>
    <x v="44"/>
    <x v="1"/>
    <x v="0"/>
    <x v="477"/>
    <x v="1"/>
    <x v="16"/>
    <x v="0"/>
    <n v="3"/>
    <n v="433"/>
    <n v="1299"/>
    <x v="1"/>
  </r>
  <r>
    <n v="479"/>
    <x v="33"/>
    <x v="4"/>
    <x v="0"/>
    <x v="478"/>
    <x v="0"/>
    <x v="16"/>
    <x v="2"/>
    <n v="2"/>
    <n v="219"/>
    <n v="438"/>
    <x v="1"/>
  </r>
  <r>
    <n v="480"/>
    <x v="165"/>
    <x v="8"/>
    <x v="0"/>
    <x v="479"/>
    <x v="0"/>
    <x v="29"/>
    <x v="2"/>
    <n v="3"/>
    <n v="79"/>
    <n v="237"/>
    <x v="0"/>
  </r>
  <r>
    <n v="481"/>
    <x v="169"/>
    <x v="11"/>
    <x v="0"/>
    <x v="480"/>
    <x v="0"/>
    <x v="34"/>
    <x v="2"/>
    <n v="3"/>
    <n v="414"/>
    <n v="1242"/>
    <x v="0"/>
  </r>
  <r>
    <n v="482"/>
    <x v="265"/>
    <x v="4"/>
    <x v="0"/>
    <x v="481"/>
    <x v="0"/>
    <x v="43"/>
    <x v="1"/>
    <n v="2"/>
    <n v="245"/>
    <n v="490"/>
    <x v="1"/>
  </r>
  <r>
    <n v="483"/>
    <x v="4"/>
    <x v="2"/>
    <x v="0"/>
    <x v="482"/>
    <x v="1"/>
    <x v="1"/>
    <x v="1"/>
    <n v="1"/>
    <n v="206"/>
    <n v="206"/>
    <x v="2"/>
  </r>
  <r>
    <n v="484"/>
    <x v="34"/>
    <x v="7"/>
    <x v="0"/>
    <x v="483"/>
    <x v="0"/>
    <x v="32"/>
    <x v="0"/>
    <n v="3"/>
    <n v="467"/>
    <n v="1401"/>
    <x v="2"/>
  </r>
  <r>
    <n v="485"/>
    <x v="204"/>
    <x v="5"/>
    <x v="0"/>
    <x v="484"/>
    <x v="0"/>
    <x v="39"/>
    <x v="2"/>
    <n v="4"/>
    <n v="423"/>
    <n v="1692"/>
    <x v="2"/>
  </r>
  <r>
    <n v="486"/>
    <x v="195"/>
    <x v="11"/>
    <x v="0"/>
    <x v="485"/>
    <x v="0"/>
    <x v="42"/>
    <x v="0"/>
    <n v="2"/>
    <n v="375"/>
    <n v="750"/>
    <x v="0"/>
  </r>
  <r>
    <n v="487"/>
    <x v="6"/>
    <x v="5"/>
    <x v="0"/>
    <x v="486"/>
    <x v="0"/>
    <x v="43"/>
    <x v="2"/>
    <n v="3"/>
    <n v="162"/>
    <n v="486"/>
    <x v="2"/>
  </r>
  <r>
    <n v="488"/>
    <x v="223"/>
    <x v="3"/>
    <x v="0"/>
    <x v="487"/>
    <x v="0"/>
    <x v="25"/>
    <x v="1"/>
    <n v="4"/>
    <n v="166"/>
    <n v="664"/>
    <x v="2"/>
  </r>
  <r>
    <n v="489"/>
    <x v="103"/>
    <x v="2"/>
    <x v="0"/>
    <x v="488"/>
    <x v="1"/>
    <x v="40"/>
    <x v="1"/>
    <n v="3"/>
    <n v="153"/>
    <n v="459"/>
    <x v="2"/>
  </r>
  <r>
    <n v="490"/>
    <x v="33"/>
    <x v="4"/>
    <x v="0"/>
    <x v="489"/>
    <x v="1"/>
    <x v="32"/>
    <x v="0"/>
    <n v="2"/>
    <n v="259"/>
    <n v="518"/>
    <x v="1"/>
  </r>
  <r>
    <n v="491"/>
    <x v="81"/>
    <x v="11"/>
    <x v="0"/>
    <x v="490"/>
    <x v="0"/>
    <x v="34"/>
    <x v="1"/>
    <n v="4"/>
    <n v="195"/>
    <n v="780"/>
    <x v="0"/>
  </r>
  <r>
    <n v="492"/>
    <x v="121"/>
    <x v="0"/>
    <x v="0"/>
    <x v="491"/>
    <x v="1"/>
    <x v="44"/>
    <x v="2"/>
    <n v="3"/>
    <n v="245"/>
    <n v="735"/>
    <x v="0"/>
  </r>
  <r>
    <n v="493"/>
    <x v="266"/>
    <x v="0"/>
    <x v="0"/>
    <x v="492"/>
    <x v="0"/>
    <x v="34"/>
    <x v="2"/>
    <n v="2"/>
    <n v="270"/>
    <n v="540"/>
    <x v="0"/>
  </r>
  <r>
    <n v="494"/>
    <x v="69"/>
    <x v="9"/>
    <x v="0"/>
    <x v="493"/>
    <x v="0"/>
    <x v="13"/>
    <x v="2"/>
    <n v="3"/>
    <n v="401"/>
    <n v="1203"/>
    <x v="1"/>
  </r>
  <r>
    <n v="495"/>
    <x v="267"/>
    <x v="8"/>
    <x v="0"/>
    <x v="494"/>
    <x v="1"/>
    <x v="42"/>
    <x v="1"/>
    <n v="3"/>
    <n v="217"/>
    <n v="651"/>
    <x v="0"/>
  </r>
  <r>
    <n v="496"/>
    <x v="268"/>
    <x v="4"/>
    <x v="0"/>
    <x v="495"/>
    <x v="1"/>
    <x v="37"/>
    <x v="1"/>
    <n v="2"/>
    <n v="328"/>
    <n v="656"/>
    <x v="1"/>
  </r>
  <r>
    <n v="497"/>
    <x v="269"/>
    <x v="7"/>
    <x v="0"/>
    <x v="496"/>
    <x v="0"/>
    <x v="17"/>
    <x v="0"/>
    <n v="1"/>
    <n v="397"/>
    <n v="397"/>
    <x v="2"/>
  </r>
  <r>
    <n v="498"/>
    <x v="14"/>
    <x v="2"/>
    <x v="0"/>
    <x v="497"/>
    <x v="0"/>
    <x v="24"/>
    <x v="2"/>
    <n v="1"/>
    <n v="444"/>
    <n v="444"/>
    <x v="2"/>
  </r>
  <r>
    <n v="499"/>
    <x v="123"/>
    <x v="5"/>
    <x v="0"/>
    <x v="498"/>
    <x v="1"/>
    <x v="43"/>
    <x v="0"/>
    <n v="3"/>
    <n v="148"/>
    <n v="444"/>
    <x v="2"/>
  </r>
  <r>
    <n v="500"/>
    <x v="270"/>
    <x v="4"/>
    <x v="0"/>
    <x v="499"/>
    <x v="0"/>
    <x v="23"/>
    <x v="2"/>
    <n v="4"/>
    <n v="62"/>
    <n v="248"/>
    <x v="1"/>
  </r>
  <r>
    <n v="501"/>
    <x v="4"/>
    <x v="2"/>
    <x v="0"/>
    <x v="500"/>
    <x v="1"/>
    <x v="15"/>
    <x v="2"/>
    <n v="4"/>
    <n v="303"/>
    <n v="1212"/>
    <x v="2"/>
  </r>
  <r>
    <n v="502"/>
    <x v="57"/>
    <x v="6"/>
    <x v="0"/>
    <x v="501"/>
    <x v="1"/>
    <x v="11"/>
    <x v="0"/>
    <n v="1"/>
    <n v="80"/>
    <n v="80"/>
    <x v="0"/>
  </r>
  <r>
    <n v="503"/>
    <x v="271"/>
    <x v="4"/>
    <x v="0"/>
    <x v="502"/>
    <x v="1"/>
    <x v="10"/>
    <x v="0"/>
    <n v="1"/>
    <n v="313"/>
    <n v="313"/>
    <x v="1"/>
  </r>
  <r>
    <n v="504"/>
    <x v="219"/>
    <x v="0"/>
    <x v="0"/>
    <x v="503"/>
    <x v="1"/>
    <x v="44"/>
    <x v="2"/>
    <n v="1"/>
    <n v="30"/>
    <n v="30"/>
    <x v="0"/>
  </r>
  <r>
    <n v="505"/>
    <x v="144"/>
    <x v="11"/>
    <x v="0"/>
    <x v="504"/>
    <x v="1"/>
    <x v="9"/>
    <x v="0"/>
    <n v="2"/>
    <n v="253"/>
    <n v="506"/>
    <x v="0"/>
  </r>
  <r>
    <n v="506"/>
    <x v="26"/>
    <x v="5"/>
    <x v="0"/>
    <x v="505"/>
    <x v="1"/>
    <x v="20"/>
    <x v="0"/>
    <n v="2"/>
    <n v="201"/>
    <n v="402"/>
    <x v="2"/>
  </r>
  <r>
    <n v="1736"/>
    <x v="272"/>
    <x v="8"/>
    <x v="1"/>
    <x v="506"/>
    <x v="1"/>
    <x v="11"/>
    <x v="1"/>
    <n v="4"/>
    <n v="499"/>
    <n v="1996"/>
    <x v="0"/>
  </r>
  <r>
    <n v="508"/>
    <x v="195"/>
    <x v="11"/>
    <x v="0"/>
    <x v="507"/>
    <x v="0"/>
    <x v="46"/>
    <x v="1"/>
    <n v="3"/>
    <n v="184"/>
    <n v="552"/>
    <x v="0"/>
  </r>
  <r>
    <n v="509"/>
    <x v="52"/>
    <x v="9"/>
    <x v="0"/>
    <x v="508"/>
    <x v="1"/>
    <x v="4"/>
    <x v="0"/>
    <n v="4"/>
    <n v="203"/>
    <n v="812"/>
    <x v="1"/>
  </r>
  <r>
    <n v="510"/>
    <x v="30"/>
    <x v="3"/>
    <x v="0"/>
    <x v="509"/>
    <x v="0"/>
    <x v="24"/>
    <x v="0"/>
    <n v="4"/>
    <n v="188"/>
    <n v="752"/>
    <x v="2"/>
  </r>
  <r>
    <n v="511"/>
    <x v="212"/>
    <x v="11"/>
    <x v="0"/>
    <x v="510"/>
    <x v="1"/>
    <x v="8"/>
    <x v="0"/>
    <n v="1"/>
    <n v="36"/>
    <n v="36"/>
    <x v="0"/>
  </r>
  <r>
    <n v="512"/>
    <x v="52"/>
    <x v="9"/>
    <x v="0"/>
    <x v="511"/>
    <x v="0"/>
    <x v="17"/>
    <x v="1"/>
    <n v="2"/>
    <n v="289"/>
    <n v="578"/>
    <x v="1"/>
  </r>
  <r>
    <n v="513"/>
    <x v="73"/>
    <x v="10"/>
    <x v="0"/>
    <x v="512"/>
    <x v="0"/>
    <x v="44"/>
    <x v="0"/>
    <n v="4"/>
    <n v="261"/>
    <n v="1044"/>
    <x v="1"/>
  </r>
  <r>
    <n v="514"/>
    <x v="273"/>
    <x v="1"/>
    <x v="0"/>
    <x v="513"/>
    <x v="1"/>
    <x v="7"/>
    <x v="1"/>
    <n v="2"/>
    <n v="352"/>
    <n v="704"/>
    <x v="1"/>
  </r>
  <r>
    <n v="515"/>
    <x v="173"/>
    <x v="8"/>
    <x v="0"/>
    <x v="514"/>
    <x v="1"/>
    <x v="13"/>
    <x v="1"/>
    <n v="2"/>
    <n v="255"/>
    <n v="510"/>
    <x v="0"/>
  </r>
  <r>
    <n v="516"/>
    <x v="100"/>
    <x v="7"/>
    <x v="0"/>
    <x v="515"/>
    <x v="1"/>
    <x v="29"/>
    <x v="1"/>
    <n v="2"/>
    <n v="130"/>
    <n v="260"/>
    <x v="2"/>
  </r>
  <r>
    <n v="517"/>
    <x v="5"/>
    <x v="4"/>
    <x v="0"/>
    <x v="516"/>
    <x v="0"/>
    <x v="42"/>
    <x v="1"/>
    <n v="2"/>
    <n v="212"/>
    <n v="424"/>
    <x v="1"/>
  </r>
  <r>
    <n v="518"/>
    <x v="15"/>
    <x v="9"/>
    <x v="0"/>
    <x v="517"/>
    <x v="0"/>
    <x v="20"/>
    <x v="1"/>
    <n v="3"/>
    <n v="368"/>
    <n v="1104"/>
    <x v="1"/>
  </r>
  <r>
    <n v="519"/>
    <x v="53"/>
    <x v="3"/>
    <x v="0"/>
    <x v="518"/>
    <x v="1"/>
    <x v="32"/>
    <x v="2"/>
    <n v="4"/>
    <n v="325"/>
    <n v="1300"/>
    <x v="2"/>
  </r>
  <r>
    <n v="520"/>
    <x v="23"/>
    <x v="11"/>
    <x v="0"/>
    <x v="519"/>
    <x v="1"/>
    <x v="5"/>
    <x v="2"/>
    <n v="2"/>
    <n v="441"/>
    <n v="882"/>
    <x v="0"/>
  </r>
  <r>
    <n v="521"/>
    <x v="128"/>
    <x v="8"/>
    <x v="0"/>
    <x v="520"/>
    <x v="1"/>
    <x v="35"/>
    <x v="0"/>
    <n v="1"/>
    <n v="369"/>
    <n v="369"/>
    <x v="0"/>
  </r>
  <r>
    <n v="522"/>
    <x v="246"/>
    <x v="10"/>
    <x v="0"/>
    <x v="521"/>
    <x v="1"/>
    <x v="41"/>
    <x v="1"/>
    <n v="3"/>
    <n v="84"/>
    <n v="252"/>
    <x v="1"/>
  </r>
  <r>
    <n v="523"/>
    <x v="214"/>
    <x v="1"/>
    <x v="0"/>
    <x v="522"/>
    <x v="1"/>
    <x v="11"/>
    <x v="1"/>
    <n v="4"/>
    <n v="239"/>
    <n v="956"/>
    <x v="1"/>
  </r>
  <r>
    <n v="524"/>
    <x v="166"/>
    <x v="0"/>
    <x v="0"/>
    <x v="523"/>
    <x v="0"/>
    <x v="42"/>
    <x v="2"/>
    <n v="4"/>
    <n v="120"/>
    <n v="480"/>
    <x v="0"/>
  </r>
  <r>
    <n v="525"/>
    <x v="258"/>
    <x v="3"/>
    <x v="0"/>
    <x v="524"/>
    <x v="0"/>
    <x v="2"/>
    <x v="1"/>
    <n v="4"/>
    <n v="172"/>
    <n v="688"/>
    <x v="2"/>
  </r>
  <r>
    <n v="526"/>
    <x v="244"/>
    <x v="10"/>
    <x v="0"/>
    <x v="525"/>
    <x v="0"/>
    <x v="31"/>
    <x v="2"/>
    <n v="1"/>
    <n v="468"/>
    <n v="468"/>
    <x v="1"/>
  </r>
  <r>
    <n v="527"/>
    <x v="59"/>
    <x v="5"/>
    <x v="0"/>
    <x v="526"/>
    <x v="0"/>
    <x v="45"/>
    <x v="1"/>
    <n v="2"/>
    <n v="442"/>
    <n v="884"/>
    <x v="2"/>
  </r>
  <r>
    <n v="528"/>
    <x v="245"/>
    <x v="5"/>
    <x v="0"/>
    <x v="527"/>
    <x v="1"/>
    <x v="38"/>
    <x v="0"/>
    <n v="4"/>
    <n v="237"/>
    <n v="948"/>
    <x v="2"/>
  </r>
  <r>
    <n v="529"/>
    <x v="274"/>
    <x v="8"/>
    <x v="0"/>
    <x v="528"/>
    <x v="1"/>
    <x v="45"/>
    <x v="1"/>
    <n v="1"/>
    <n v="314"/>
    <n v="314"/>
    <x v="0"/>
  </r>
  <r>
    <n v="530"/>
    <x v="275"/>
    <x v="6"/>
    <x v="0"/>
    <x v="529"/>
    <x v="0"/>
    <x v="39"/>
    <x v="1"/>
    <n v="3"/>
    <n v="140"/>
    <n v="420"/>
    <x v="0"/>
  </r>
  <r>
    <n v="531"/>
    <x v="105"/>
    <x v="7"/>
    <x v="0"/>
    <x v="530"/>
    <x v="1"/>
    <x v="10"/>
    <x v="2"/>
    <n v="4"/>
    <n v="306"/>
    <n v="1224"/>
    <x v="2"/>
  </r>
  <r>
    <n v="532"/>
    <x v="188"/>
    <x v="3"/>
    <x v="0"/>
    <x v="531"/>
    <x v="0"/>
    <x v="42"/>
    <x v="1"/>
    <n v="3"/>
    <n v="421"/>
    <n v="1263"/>
    <x v="2"/>
  </r>
  <r>
    <n v="533"/>
    <x v="210"/>
    <x v="7"/>
    <x v="0"/>
    <x v="532"/>
    <x v="1"/>
    <x v="6"/>
    <x v="1"/>
    <n v="4"/>
    <n v="304"/>
    <n v="1216"/>
    <x v="2"/>
  </r>
  <r>
    <n v="534"/>
    <x v="247"/>
    <x v="1"/>
    <x v="0"/>
    <x v="533"/>
    <x v="1"/>
    <x v="1"/>
    <x v="0"/>
    <n v="2"/>
    <n v="177"/>
    <n v="354"/>
    <x v="1"/>
  </r>
  <r>
    <n v="535"/>
    <x v="124"/>
    <x v="6"/>
    <x v="0"/>
    <x v="534"/>
    <x v="1"/>
    <x v="22"/>
    <x v="2"/>
    <n v="1"/>
    <n v="249"/>
    <n v="249"/>
    <x v="0"/>
  </r>
  <r>
    <n v="536"/>
    <x v="137"/>
    <x v="10"/>
    <x v="0"/>
    <x v="535"/>
    <x v="0"/>
    <x v="4"/>
    <x v="0"/>
    <n v="3"/>
    <n v="465"/>
    <n v="1395"/>
    <x v="1"/>
  </r>
  <r>
    <n v="537"/>
    <x v="274"/>
    <x v="8"/>
    <x v="0"/>
    <x v="536"/>
    <x v="1"/>
    <x v="10"/>
    <x v="0"/>
    <n v="2"/>
    <n v="426"/>
    <n v="852"/>
    <x v="0"/>
  </r>
  <r>
    <n v="538"/>
    <x v="276"/>
    <x v="1"/>
    <x v="0"/>
    <x v="537"/>
    <x v="0"/>
    <x v="21"/>
    <x v="0"/>
    <n v="3"/>
    <n v="297"/>
    <n v="891"/>
    <x v="1"/>
  </r>
  <r>
    <n v="539"/>
    <x v="268"/>
    <x v="4"/>
    <x v="0"/>
    <x v="538"/>
    <x v="0"/>
    <x v="31"/>
    <x v="0"/>
    <n v="3"/>
    <n v="173"/>
    <n v="519"/>
    <x v="1"/>
  </r>
  <r>
    <n v="540"/>
    <x v="277"/>
    <x v="7"/>
    <x v="0"/>
    <x v="539"/>
    <x v="1"/>
    <x v="26"/>
    <x v="0"/>
    <n v="1"/>
    <n v="94"/>
    <n v="94"/>
    <x v="2"/>
  </r>
  <r>
    <n v="541"/>
    <x v="278"/>
    <x v="5"/>
    <x v="0"/>
    <x v="540"/>
    <x v="0"/>
    <x v="12"/>
    <x v="0"/>
    <n v="2"/>
    <n v="384"/>
    <n v="768"/>
    <x v="2"/>
  </r>
  <r>
    <n v="542"/>
    <x v="279"/>
    <x v="10"/>
    <x v="0"/>
    <x v="541"/>
    <x v="0"/>
    <x v="30"/>
    <x v="0"/>
    <n v="3"/>
    <n v="449"/>
    <n v="1347"/>
    <x v="1"/>
  </r>
  <r>
    <n v="543"/>
    <x v="33"/>
    <x v="4"/>
    <x v="0"/>
    <x v="542"/>
    <x v="1"/>
    <x v="45"/>
    <x v="1"/>
    <n v="3"/>
    <n v="346"/>
    <n v="1038"/>
    <x v="1"/>
  </r>
  <r>
    <n v="544"/>
    <x v="79"/>
    <x v="2"/>
    <x v="0"/>
    <x v="543"/>
    <x v="1"/>
    <x v="24"/>
    <x v="1"/>
    <n v="1"/>
    <n v="231"/>
    <n v="231"/>
    <x v="2"/>
  </r>
  <r>
    <n v="545"/>
    <x v="207"/>
    <x v="3"/>
    <x v="0"/>
    <x v="544"/>
    <x v="1"/>
    <x v="11"/>
    <x v="2"/>
    <n v="4"/>
    <n v="274"/>
    <n v="1096"/>
    <x v="2"/>
  </r>
  <r>
    <n v="546"/>
    <x v="280"/>
    <x v="9"/>
    <x v="0"/>
    <x v="545"/>
    <x v="0"/>
    <x v="46"/>
    <x v="1"/>
    <n v="4"/>
    <n v="350"/>
    <n v="1400"/>
    <x v="1"/>
  </r>
  <r>
    <n v="547"/>
    <x v="209"/>
    <x v="8"/>
    <x v="0"/>
    <x v="546"/>
    <x v="1"/>
    <x v="25"/>
    <x v="0"/>
    <n v="4"/>
    <n v="136"/>
    <n v="544"/>
    <x v="0"/>
  </r>
  <r>
    <n v="548"/>
    <x v="102"/>
    <x v="2"/>
    <x v="0"/>
    <x v="547"/>
    <x v="0"/>
    <x v="45"/>
    <x v="2"/>
    <n v="3"/>
    <n v="449"/>
    <n v="1347"/>
    <x v="2"/>
  </r>
  <r>
    <n v="549"/>
    <x v="49"/>
    <x v="4"/>
    <x v="0"/>
    <x v="548"/>
    <x v="1"/>
    <x v="2"/>
    <x v="0"/>
    <n v="2"/>
    <n v="314"/>
    <n v="628"/>
    <x v="1"/>
  </r>
  <r>
    <n v="550"/>
    <x v="29"/>
    <x v="3"/>
    <x v="0"/>
    <x v="549"/>
    <x v="1"/>
    <x v="17"/>
    <x v="1"/>
    <n v="1"/>
    <n v="75"/>
    <n v="75"/>
    <x v="2"/>
  </r>
  <r>
    <n v="551"/>
    <x v="125"/>
    <x v="0"/>
    <x v="0"/>
    <x v="550"/>
    <x v="1"/>
    <x v="0"/>
    <x v="1"/>
    <n v="2"/>
    <n v="250"/>
    <n v="500"/>
    <x v="0"/>
  </r>
  <r>
    <n v="552"/>
    <x v="139"/>
    <x v="2"/>
    <x v="0"/>
    <x v="551"/>
    <x v="0"/>
    <x v="28"/>
    <x v="1"/>
    <n v="2"/>
    <n v="476"/>
    <n v="952"/>
    <x v="2"/>
  </r>
  <r>
    <n v="553"/>
    <x v="32"/>
    <x v="0"/>
    <x v="0"/>
    <x v="552"/>
    <x v="1"/>
    <x v="10"/>
    <x v="2"/>
    <n v="1"/>
    <n v="360"/>
    <n v="360"/>
    <x v="0"/>
  </r>
  <r>
    <n v="554"/>
    <x v="281"/>
    <x v="5"/>
    <x v="0"/>
    <x v="553"/>
    <x v="1"/>
    <x v="16"/>
    <x v="2"/>
    <n v="2"/>
    <n v="51"/>
    <n v="102"/>
    <x v="2"/>
  </r>
  <r>
    <n v="555"/>
    <x v="154"/>
    <x v="5"/>
    <x v="0"/>
    <x v="554"/>
    <x v="1"/>
    <x v="46"/>
    <x v="0"/>
    <n v="2"/>
    <n v="244"/>
    <n v="488"/>
    <x v="2"/>
  </r>
  <r>
    <n v="556"/>
    <x v="17"/>
    <x v="8"/>
    <x v="0"/>
    <x v="555"/>
    <x v="0"/>
    <x v="23"/>
    <x v="1"/>
    <n v="1"/>
    <n v="134"/>
    <n v="134"/>
    <x v="0"/>
  </r>
  <r>
    <n v="557"/>
    <x v="43"/>
    <x v="3"/>
    <x v="0"/>
    <x v="556"/>
    <x v="0"/>
    <x v="43"/>
    <x v="0"/>
    <n v="2"/>
    <n v="290"/>
    <n v="580"/>
    <x v="2"/>
  </r>
  <r>
    <n v="558"/>
    <x v="236"/>
    <x v="8"/>
    <x v="0"/>
    <x v="557"/>
    <x v="1"/>
    <x v="3"/>
    <x v="1"/>
    <n v="3"/>
    <n v="443"/>
    <n v="1329"/>
    <x v="0"/>
  </r>
  <r>
    <n v="559"/>
    <x v="45"/>
    <x v="10"/>
    <x v="0"/>
    <x v="558"/>
    <x v="1"/>
    <x v="11"/>
    <x v="1"/>
    <n v="4"/>
    <n v="61"/>
    <n v="244"/>
    <x v="1"/>
  </r>
  <r>
    <n v="560"/>
    <x v="255"/>
    <x v="1"/>
    <x v="0"/>
    <x v="559"/>
    <x v="1"/>
    <x v="16"/>
    <x v="0"/>
    <n v="1"/>
    <n v="77"/>
    <n v="77"/>
    <x v="1"/>
  </r>
  <r>
    <n v="561"/>
    <x v="69"/>
    <x v="9"/>
    <x v="0"/>
    <x v="560"/>
    <x v="1"/>
    <x v="34"/>
    <x v="1"/>
    <n v="4"/>
    <n v="421"/>
    <n v="1684"/>
    <x v="1"/>
  </r>
  <r>
    <n v="562"/>
    <x v="246"/>
    <x v="10"/>
    <x v="0"/>
    <x v="561"/>
    <x v="0"/>
    <x v="25"/>
    <x v="0"/>
    <n v="1"/>
    <n v="337"/>
    <n v="337"/>
    <x v="1"/>
  </r>
  <r>
    <n v="563"/>
    <x v="32"/>
    <x v="0"/>
    <x v="0"/>
    <x v="562"/>
    <x v="0"/>
    <x v="24"/>
    <x v="2"/>
    <n v="2"/>
    <n v="346"/>
    <n v="692"/>
    <x v="0"/>
  </r>
  <r>
    <n v="564"/>
    <x v="88"/>
    <x v="10"/>
    <x v="0"/>
    <x v="563"/>
    <x v="1"/>
    <x v="35"/>
    <x v="0"/>
    <n v="4"/>
    <n v="465"/>
    <n v="1860"/>
    <x v="1"/>
  </r>
  <r>
    <n v="565"/>
    <x v="247"/>
    <x v="1"/>
    <x v="0"/>
    <x v="564"/>
    <x v="0"/>
    <x v="1"/>
    <x v="1"/>
    <n v="1"/>
    <n v="326"/>
    <n v="326"/>
    <x v="1"/>
  </r>
  <r>
    <n v="566"/>
    <x v="245"/>
    <x v="5"/>
    <x v="0"/>
    <x v="565"/>
    <x v="1"/>
    <x v="28"/>
    <x v="2"/>
    <n v="2"/>
    <n v="151"/>
    <n v="302"/>
    <x v="2"/>
  </r>
  <r>
    <n v="567"/>
    <x v="54"/>
    <x v="4"/>
    <x v="0"/>
    <x v="566"/>
    <x v="0"/>
    <x v="14"/>
    <x v="0"/>
    <n v="3"/>
    <n v="423"/>
    <n v="1269"/>
    <x v="1"/>
  </r>
  <r>
    <n v="568"/>
    <x v="218"/>
    <x v="8"/>
    <x v="0"/>
    <x v="567"/>
    <x v="0"/>
    <x v="33"/>
    <x v="2"/>
    <n v="2"/>
    <n v="290"/>
    <n v="580"/>
    <x v="0"/>
  </r>
  <r>
    <n v="569"/>
    <x v="282"/>
    <x v="0"/>
    <x v="0"/>
    <x v="568"/>
    <x v="0"/>
    <x v="13"/>
    <x v="2"/>
    <n v="1"/>
    <n v="426"/>
    <n v="426"/>
    <x v="0"/>
  </r>
  <r>
    <n v="570"/>
    <x v="86"/>
    <x v="4"/>
    <x v="0"/>
    <x v="569"/>
    <x v="1"/>
    <x v="29"/>
    <x v="1"/>
    <n v="2"/>
    <n v="280"/>
    <n v="560"/>
    <x v="1"/>
  </r>
  <r>
    <n v="571"/>
    <x v="283"/>
    <x v="0"/>
    <x v="0"/>
    <x v="570"/>
    <x v="0"/>
    <x v="18"/>
    <x v="1"/>
    <n v="3"/>
    <n v="187"/>
    <n v="561"/>
    <x v="0"/>
  </r>
  <r>
    <n v="572"/>
    <x v="279"/>
    <x v="10"/>
    <x v="0"/>
    <x v="571"/>
    <x v="1"/>
    <x v="42"/>
    <x v="2"/>
    <n v="3"/>
    <n v="304"/>
    <n v="912"/>
    <x v="1"/>
  </r>
  <r>
    <n v="573"/>
    <x v="146"/>
    <x v="8"/>
    <x v="0"/>
    <x v="572"/>
    <x v="0"/>
    <x v="40"/>
    <x v="1"/>
    <n v="1"/>
    <n v="325"/>
    <n v="325"/>
    <x v="0"/>
  </r>
  <r>
    <n v="574"/>
    <x v="212"/>
    <x v="11"/>
    <x v="0"/>
    <x v="573"/>
    <x v="0"/>
    <x v="22"/>
    <x v="1"/>
    <n v="1"/>
    <n v="497"/>
    <n v="497"/>
    <x v="0"/>
  </r>
  <r>
    <n v="575"/>
    <x v="284"/>
    <x v="6"/>
    <x v="0"/>
    <x v="574"/>
    <x v="1"/>
    <x v="26"/>
    <x v="2"/>
    <n v="4"/>
    <n v="241"/>
    <n v="964"/>
    <x v="0"/>
  </r>
  <r>
    <n v="576"/>
    <x v="111"/>
    <x v="8"/>
    <x v="0"/>
    <x v="575"/>
    <x v="1"/>
    <x v="16"/>
    <x v="0"/>
    <n v="2"/>
    <n v="167"/>
    <n v="334"/>
    <x v="0"/>
  </r>
  <r>
    <n v="577"/>
    <x v="203"/>
    <x v="11"/>
    <x v="0"/>
    <x v="576"/>
    <x v="1"/>
    <x v="16"/>
    <x v="0"/>
    <n v="2"/>
    <n v="438"/>
    <n v="876"/>
    <x v="0"/>
  </r>
  <r>
    <n v="578"/>
    <x v="285"/>
    <x v="10"/>
    <x v="0"/>
    <x v="577"/>
    <x v="1"/>
    <x v="13"/>
    <x v="0"/>
    <n v="1"/>
    <n v="183"/>
    <n v="183"/>
    <x v="1"/>
  </r>
  <r>
    <n v="579"/>
    <x v="259"/>
    <x v="8"/>
    <x v="0"/>
    <x v="578"/>
    <x v="1"/>
    <x v="46"/>
    <x v="1"/>
    <n v="1"/>
    <n v="150"/>
    <n v="150"/>
    <x v="0"/>
  </r>
  <r>
    <n v="580"/>
    <x v="286"/>
    <x v="11"/>
    <x v="0"/>
    <x v="579"/>
    <x v="1"/>
    <x v="41"/>
    <x v="2"/>
    <n v="1"/>
    <n v="183"/>
    <n v="183"/>
    <x v="0"/>
  </r>
  <r>
    <n v="581"/>
    <x v="180"/>
    <x v="8"/>
    <x v="0"/>
    <x v="580"/>
    <x v="0"/>
    <x v="41"/>
    <x v="1"/>
    <n v="2"/>
    <n v="384"/>
    <n v="768"/>
    <x v="0"/>
  </r>
  <r>
    <n v="582"/>
    <x v="107"/>
    <x v="6"/>
    <x v="0"/>
    <x v="581"/>
    <x v="0"/>
    <x v="45"/>
    <x v="2"/>
    <n v="3"/>
    <n v="110"/>
    <n v="330"/>
    <x v="0"/>
  </r>
  <r>
    <n v="583"/>
    <x v="170"/>
    <x v="5"/>
    <x v="0"/>
    <x v="582"/>
    <x v="0"/>
    <x v="12"/>
    <x v="0"/>
    <n v="1"/>
    <n v="419"/>
    <n v="419"/>
    <x v="2"/>
  </r>
  <r>
    <n v="584"/>
    <x v="275"/>
    <x v="6"/>
    <x v="0"/>
    <x v="583"/>
    <x v="1"/>
    <x v="28"/>
    <x v="2"/>
    <n v="1"/>
    <n v="159"/>
    <n v="159"/>
    <x v="0"/>
  </r>
  <r>
    <n v="585"/>
    <x v="165"/>
    <x v="8"/>
    <x v="0"/>
    <x v="584"/>
    <x v="0"/>
    <x v="45"/>
    <x v="2"/>
    <n v="3"/>
    <n v="53"/>
    <n v="159"/>
    <x v="0"/>
  </r>
  <r>
    <n v="586"/>
    <x v="287"/>
    <x v="3"/>
    <x v="0"/>
    <x v="585"/>
    <x v="0"/>
    <x v="37"/>
    <x v="1"/>
    <n v="3"/>
    <n v="420"/>
    <n v="1260"/>
    <x v="2"/>
  </r>
  <r>
    <n v="587"/>
    <x v="189"/>
    <x v="11"/>
    <x v="0"/>
    <x v="586"/>
    <x v="0"/>
    <x v="9"/>
    <x v="0"/>
    <n v="1"/>
    <n v="47"/>
    <n v="47"/>
    <x v="0"/>
  </r>
  <r>
    <n v="588"/>
    <x v="116"/>
    <x v="6"/>
    <x v="0"/>
    <x v="587"/>
    <x v="0"/>
    <x v="8"/>
    <x v="2"/>
    <n v="3"/>
    <n v="221"/>
    <n v="663"/>
    <x v="0"/>
  </r>
  <r>
    <n v="589"/>
    <x v="119"/>
    <x v="10"/>
    <x v="0"/>
    <x v="588"/>
    <x v="0"/>
    <x v="8"/>
    <x v="0"/>
    <n v="4"/>
    <n v="139"/>
    <n v="556"/>
    <x v="1"/>
  </r>
  <r>
    <n v="590"/>
    <x v="131"/>
    <x v="9"/>
    <x v="0"/>
    <x v="589"/>
    <x v="0"/>
    <x v="38"/>
    <x v="0"/>
    <n v="3"/>
    <n v="163"/>
    <n v="489"/>
    <x v="1"/>
  </r>
  <r>
    <n v="591"/>
    <x v="185"/>
    <x v="11"/>
    <x v="0"/>
    <x v="590"/>
    <x v="1"/>
    <x v="41"/>
    <x v="0"/>
    <n v="1"/>
    <n v="116"/>
    <n v="116"/>
    <x v="0"/>
  </r>
  <r>
    <n v="592"/>
    <x v="1"/>
    <x v="1"/>
    <x v="0"/>
    <x v="591"/>
    <x v="0"/>
    <x v="13"/>
    <x v="1"/>
    <n v="4"/>
    <n v="468"/>
    <n v="1872"/>
    <x v="1"/>
  </r>
  <r>
    <n v="593"/>
    <x v="202"/>
    <x v="4"/>
    <x v="0"/>
    <x v="592"/>
    <x v="1"/>
    <x v="31"/>
    <x v="1"/>
    <n v="4"/>
    <n v="29"/>
    <n v="116"/>
    <x v="1"/>
  </r>
  <r>
    <n v="594"/>
    <x v="155"/>
    <x v="5"/>
    <x v="0"/>
    <x v="593"/>
    <x v="0"/>
    <x v="39"/>
    <x v="0"/>
    <n v="3"/>
    <n v="403"/>
    <n v="1209"/>
    <x v="2"/>
  </r>
  <r>
    <n v="595"/>
    <x v="288"/>
    <x v="0"/>
    <x v="0"/>
    <x v="594"/>
    <x v="0"/>
    <x v="20"/>
    <x v="2"/>
    <n v="4"/>
    <n v="420"/>
    <n v="1680"/>
    <x v="0"/>
  </r>
  <r>
    <n v="596"/>
    <x v="226"/>
    <x v="1"/>
    <x v="0"/>
    <x v="595"/>
    <x v="0"/>
    <x v="30"/>
    <x v="1"/>
    <n v="4"/>
    <n v="37"/>
    <n v="148"/>
    <x v="1"/>
  </r>
  <r>
    <n v="597"/>
    <x v="242"/>
    <x v="1"/>
    <x v="0"/>
    <x v="596"/>
    <x v="1"/>
    <x v="7"/>
    <x v="0"/>
    <n v="1"/>
    <n v="196"/>
    <n v="196"/>
    <x v="1"/>
  </r>
  <r>
    <n v="598"/>
    <x v="208"/>
    <x v="6"/>
    <x v="0"/>
    <x v="597"/>
    <x v="1"/>
    <x v="46"/>
    <x v="2"/>
    <n v="1"/>
    <n v="130"/>
    <n v="130"/>
    <x v="0"/>
  </r>
  <r>
    <n v="599"/>
    <x v="174"/>
    <x v="3"/>
    <x v="0"/>
    <x v="598"/>
    <x v="0"/>
    <x v="38"/>
    <x v="2"/>
    <n v="1"/>
    <n v="97"/>
    <n v="97"/>
    <x v="2"/>
  </r>
  <r>
    <n v="600"/>
    <x v="165"/>
    <x v="8"/>
    <x v="0"/>
    <x v="599"/>
    <x v="1"/>
    <x v="16"/>
    <x v="1"/>
    <n v="2"/>
    <n v="484"/>
    <n v="968"/>
    <x v="0"/>
  </r>
  <r>
    <n v="601"/>
    <x v="71"/>
    <x v="3"/>
    <x v="0"/>
    <x v="600"/>
    <x v="1"/>
    <x v="11"/>
    <x v="2"/>
    <n v="4"/>
    <n v="407"/>
    <n v="1628"/>
    <x v="2"/>
  </r>
  <r>
    <n v="602"/>
    <x v="195"/>
    <x v="11"/>
    <x v="0"/>
    <x v="601"/>
    <x v="0"/>
    <x v="26"/>
    <x v="1"/>
    <n v="4"/>
    <n v="63"/>
    <n v="252"/>
    <x v="0"/>
  </r>
  <r>
    <n v="603"/>
    <x v="100"/>
    <x v="7"/>
    <x v="0"/>
    <x v="602"/>
    <x v="0"/>
    <x v="28"/>
    <x v="0"/>
    <n v="2"/>
    <n v="146"/>
    <n v="292"/>
    <x v="2"/>
  </r>
  <r>
    <n v="604"/>
    <x v="115"/>
    <x v="4"/>
    <x v="0"/>
    <x v="603"/>
    <x v="1"/>
    <x v="31"/>
    <x v="2"/>
    <n v="3"/>
    <n v="187"/>
    <n v="561"/>
    <x v="1"/>
  </r>
  <r>
    <n v="605"/>
    <x v="167"/>
    <x v="2"/>
    <x v="0"/>
    <x v="604"/>
    <x v="1"/>
    <x v="9"/>
    <x v="1"/>
    <n v="2"/>
    <n v="94"/>
    <n v="188"/>
    <x v="2"/>
  </r>
  <r>
    <n v="606"/>
    <x v="19"/>
    <x v="7"/>
    <x v="0"/>
    <x v="605"/>
    <x v="0"/>
    <x v="30"/>
    <x v="1"/>
    <n v="2"/>
    <n v="255"/>
    <n v="510"/>
    <x v="2"/>
  </r>
  <r>
    <n v="607"/>
    <x v="90"/>
    <x v="2"/>
    <x v="0"/>
    <x v="606"/>
    <x v="1"/>
    <x v="38"/>
    <x v="1"/>
    <n v="3"/>
    <n v="419"/>
    <n v="1257"/>
    <x v="2"/>
  </r>
  <r>
    <n v="608"/>
    <x v="122"/>
    <x v="1"/>
    <x v="0"/>
    <x v="607"/>
    <x v="1"/>
    <x v="34"/>
    <x v="2"/>
    <n v="3"/>
    <n v="461"/>
    <n v="1383"/>
    <x v="1"/>
  </r>
  <r>
    <n v="609"/>
    <x v="45"/>
    <x v="10"/>
    <x v="0"/>
    <x v="608"/>
    <x v="0"/>
    <x v="10"/>
    <x v="0"/>
    <n v="3"/>
    <n v="448"/>
    <n v="1344"/>
    <x v="1"/>
  </r>
  <r>
    <n v="610"/>
    <x v="183"/>
    <x v="8"/>
    <x v="0"/>
    <x v="609"/>
    <x v="0"/>
    <x v="4"/>
    <x v="2"/>
    <n v="2"/>
    <n v="71"/>
    <n v="142"/>
    <x v="0"/>
  </r>
  <r>
    <n v="611"/>
    <x v="165"/>
    <x v="8"/>
    <x v="0"/>
    <x v="610"/>
    <x v="0"/>
    <x v="5"/>
    <x v="2"/>
    <n v="1"/>
    <n v="371"/>
    <n v="371"/>
    <x v="0"/>
  </r>
  <r>
    <n v="612"/>
    <x v="222"/>
    <x v="9"/>
    <x v="0"/>
    <x v="611"/>
    <x v="1"/>
    <x v="36"/>
    <x v="1"/>
    <n v="4"/>
    <n v="462"/>
    <n v="1848"/>
    <x v="1"/>
  </r>
  <r>
    <n v="613"/>
    <x v="167"/>
    <x v="2"/>
    <x v="0"/>
    <x v="612"/>
    <x v="0"/>
    <x v="1"/>
    <x v="2"/>
    <n v="1"/>
    <n v="436"/>
    <n v="436"/>
    <x v="2"/>
  </r>
  <r>
    <n v="614"/>
    <x v="244"/>
    <x v="10"/>
    <x v="0"/>
    <x v="613"/>
    <x v="0"/>
    <x v="3"/>
    <x v="1"/>
    <n v="2"/>
    <n v="91"/>
    <n v="182"/>
    <x v="1"/>
  </r>
  <r>
    <n v="615"/>
    <x v="289"/>
    <x v="1"/>
    <x v="0"/>
    <x v="614"/>
    <x v="1"/>
    <x v="37"/>
    <x v="0"/>
    <n v="1"/>
    <n v="323"/>
    <n v="323"/>
    <x v="1"/>
  </r>
  <r>
    <n v="616"/>
    <x v="290"/>
    <x v="7"/>
    <x v="0"/>
    <x v="615"/>
    <x v="1"/>
    <x v="25"/>
    <x v="1"/>
    <n v="1"/>
    <n v="126"/>
    <n v="126"/>
    <x v="2"/>
  </r>
  <r>
    <n v="617"/>
    <x v="219"/>
    <x v="0"/>
    <x v="0"/>
    <x v="616"/>
    <x v="1"/>
    <x v="43"/>
    <x v="1"/>
    <n v="3"/>
    <n v="87"/>
    <n v="261"/>
    <x v="0"/>
  </r>
  <r>
    <n v="618"/>
    <x v="241"/>
    <x v="6"/>
    <x v="0"/>
    <x v="617"/>
    <x v="1"/>
    <x v="21"/>
    <x v="1"/>
    <n v="4"/>
    <n v="445"/>
    <n v="1780"/>
    <x v="0"/>
  </r>
  <r>
    <n v="619"/>
    <x v="154"/>
    <x v="5"/>
    <x v="0"/>
    <x v="618"/>
    <x v="1"/>
    <x v="0"/>
    <x v="2"/>
    <n v="4"/>
    <n v="113"/>
    <n v="452"/>
    <x v="2"/>
  </r>
  <r>
    <n v="620"/>
    <x v="260"/>
    <x v="5"/>
    <x v="0"/>
    <x v="619"/>
    <x v="0"/>
    <x v="36"/>
    <x v="2"/>
    <n v="3"/>
    <n v="253"/>
    <n v="759"/>
    <x v="2"/>
  </r>
  <r>
    <n v="621"/>
    <x v="119"/>
    <x v="10"/>
    <x v="0"/>
    <x v="620"/>
    <x v="0"/>
    <x v="35"/>
    <x v="0"/>
    <n v="2"/>
    <n v="356"/>
    <n v="712"/>
    <x v="1"/>
  </r>
  <r>
    <n v="622"/>
    <x v="148"/>
    <x v="9"/>
    <x v="0"/>
    <x v="621"/>
    <x v="1"/>
    <x v="38"/>
    <x v="0"/>
    <n v="4"/>
    <n v="56"/>
    <n v="224"/>
    <x v="1"/>
  </r>
  <r>
    <n v="623"/>
    <x v="286"/>
    <x v="11"/>
    <x v="0"/>
    <x v="622"/>
    <x v="1"/>
    <x v="29"/>
    <x v="1"/>
    <n v="4"/>
    <n v="127"/>
    <n v="508"/>
    <x v="0"/>
  </r>
  <r>
    <n v="624"/>
    <x v="94"/>
    <x v="0"/>
    <x v="0"/>
    <x v="623"/>
    <x v="0"/>
    <x v="7"/>
    <x v="0"/>
    <n v="1"/>
    <n v="220"/>
    <n v="220"/>
    <x v="0"/>
  </r>
  <r>
    <n v="625"/>
    <x v="59"/>
    <x v="5"/>
    <x v="0"/>
    <x v="624"/>
    <x v="1"/>
    <x v="6"/>
    <x v="2"/>
    <n v="3"/>
    <n v="492"/>
    <n v="1476"/>
    <x v="2"/>
  </r>
  <r>
    <n v="626"/>
    <x v="291"/>
    <x v="7"/>
    <x v="0"/>
    <x v="625"/>
    <x v="1"/>
    <x v="29"/>
    <x v="2"/>
    <n v="2"/>
    <n v="38"/>
    <n v="76"/>
    <x v="2"/>
  </r>
  <r>
    <n v="627"/>
    <x v="254"/>
    <x v="9"/>
    <x v="0"/>
    <x v="626"/>
    <x v="0"/>
    <x v="0"/>
    <x v="2"/>
    <n v="1"/>
    <n v="439"/>
    <n v="439"/>
    <x v="1"/>
  </r>
  <r>
    <n v="628"/>
    <x v="205"/>
    <x v="2"/>
    <x v="0"/>
    <x v="627"/>
    <x v="1"/>
    <x v="15"/>
    <x v="1"/>
    <n v="2"/>
    <n v="76"/>
    <n v="152"/>
    <x v="2"/>
  </r>
  <r>
    <n v="629"/>
    <x v="33"/>
    <x v="4"/>
    <x v="0"/>
    <x v="628"/>
    <x v="0"/>
    <x v="12"/>
    <x v="0"/>
    <n v="1"/>
    <n v="416"/>
    <n v="416"/>
    <x v="1"/>
  </r>
  <r>
    <n v="630"/>
    <x v="92"/>
    <x v="1"/>
    <x v="0"/>
    <x v="629"/>
    <x v="1"/>
    <x v="5"/>
    <x v="1"/>
    <n v="2"/>
    <n v="146"/>
    <n v="292"/>
    <x v="1"/>
  </r>
  <r>
    <n v="631"/>
    <x v="100"/>
    <x v="7"/>
    <x v="0"/>
    <x v="630"/>
    <x v="1"/>
    <x v="11"/>
    <x v="2"/>
    <n v="1"/>
    <n v="385"/>
    <n v="385"/>
    <x v="2"/>
  </r>
  <r>
    <n v="632"/>
    <x v="158"/>
    <x v="8"/>
    <x v="0"/>
    <x v="631"/>
    <x v="1"/>
    <x v="42"/>
    <x v="0"/>
    <n v="2"/>
    <n v="313"/>
    <n v="626"/>
    <x v="0"/>
  </r>
  <r>
    <n v="633"/>
    <x v="292"/>
    <x v="1"/>
    <x v="0"/>
    <x v="632"/>
    <x v="1"/>
    <x v="6"/>
    <x v="2"/>
    <n v="2"/>
    <n v="276"/>
    <n v="552"/>
    <x v="1"/>
  </r>
  <r>
    <n v="634"/>
    <x v="293"/>
    <x v="6"/>
    <x v="0"/>
    <x v="633"/>
    <x v="0"/>
    <x v="21"/>
    <x v="1"/>
    <n v="2"/>
    <n v="35"/>
    <n v="70"/>
    <x v="0"/>
  </r>
  <r>
    <n v="635"/>
    <x v="294"/>
    <x v="3"/>
    <x v="0"/>
    <x v="634"/>
    <x v="1"/>
    <x v="3"/>
    <x v="2"/>
    <n v="2"/>
    <n v="437"/>
    <n v="874"/>
    <x v="2"/>
  </r>
  <r>
    <n v="636"/>
    <x v="225"/>
    <x v="10"/>
    <x v="0"/>
    <x v="635"/>
    <x v="1"/>
    <x v="23"/>
    <x v="1"/>
    <n v="3"/>
    <n v="55"/>
    <n v="165"/>
    <x v="1"/>
  </r>
  <r>
    <n v="637"/>
    <x v="295"/>
    <x v="6"/>
    <x v="0"/>
    <x v="636"/>
    <x v="0"/>
    <x v="15"/>
    <x v="0"/>
    <n v="2"/>
    <n v="421"/>
    <n v="842"/>
    <x v="0"/>
  </r>
  <r>
    <n v="638"/>
    <x v="179"/>
    <x v="11"/>
    <x v="0"/>
    <x v="637"/>
    <x v="1"/>
    <x v="25"/>
    <x v="2"/>
    <n v="4"/>
    <n v="325"/>
    <n v="1300"/>
    <x v="0"/>
  </r>
  <r>
    <n v="639"/>
    <x v="141"/>
    <x v="11"/>
    <x v="0"/>
    <x v="638"/>
    <x v="1"/>
    <x v="34"/>
    <x v="2"/>
    <n v="2"/>
    <n v="105"/>
    <n v="210"/>
    <x v="0"/>
  </r>
  <r>
    <n v="640"/>
    <x v="186"/>
    <x v="2"/>
    <x v="0"/>
    <x v="639"/>
    <x v="1"/>
    <x v="19"/>
    <x v="2"/>
    <n v="2"/>
    <n v="387"/>
    <n v="774"/>
    <x v="2"/>
  </r>
  <r>
    <n v="641"/>
    <x v="296"/>
    <x v="7"/>
    <x v="0"/>
    <x v="640"/>
    <x v="1"/>
    <x v="9"/>
    <x v="0"/>
    <n v="2"/>
    <n v="218"/>
    <n v="436"/>
    <x v="2"/>
  </r>
  <r>
    <n v="642"/>
    <x v="28"/>
    <x v="9"/>
    <x v="0"/>
    <x v="641"/>
    <x v="1"/>
    <x v="43"/>
    <x v="1"/>
    <n v="1"/>
    <n v="384"/>
    <n v="384"/>
    <x v="1"/>
  </r>
  <r>
    <n v="643"/>
    <x v="277"/>
    <x v="7"/>
    <x v="0"/>
    <x v="642"/>
    <x v="1"/>
    <x v="42"/>
    <x v="1"/>
    <n v="2"/>
    <n v="333"/>
    <n v="666"/>
    <x v="2"/>
  </r>
  <r>
    <n v="644"/>
    <x v="297"/>
    <x v="9"/>
    <x v="0"/>
    <x v="643"/>
    <x v="0"/>
    <x v="7"/>
    <x v="0"/>
    <n v="1"/>
    <n v="279"/>
    <n v="279"/>
    <x v="1"/>
  </r>
  <r>
    <n v="645"/>
    <x v="230"/>
    <x v="10"/>
    <x v="0"/>
    <x v="644"/>
    <x v="1"/>
    <x v="25"/>
    <x v="1"/>
    <n v="3"/>
    <n v="188"/>
    <n v="564"/>
    <x v="1"/>
  </r>
  <r>
    <n v="646"/>
    <x v="298"/>
    <x v="10"/>
    <x v="0"/>
    <x v="645"/>
    <x v="0"/>
    <x v="23"/>
    <x v="0"/>
    <n v="3"/>
    <n v="253"/>
    <n v="759"/>
    <x v="1"/>
  </r>
  <r>
    <n v="647"/>
    <x v="107"/>
    <x v="6"/>
    <x v="0"/>
    <x v="646"/>
    <x v="1"/>
    <x v="4"/>
    <x v="1"/>
    <n v="1"/>
    <n v="204"/>
    <n v="204"/>
    <x v="0"/>
  </r>
  <r>
    <n v="648"/>
    <x v="97"/>
    <x v="4"/>
    <x v="0"/>
    <x v="647"/>
    <x v="0"/>
    <x v="46"/>
    <x v="1"/>
    <n v="1"/>
    <n v="222"/>
    <n v="222"/>
    <x v="1"/>
  </r>
  <r>
    <n v="649"/>
    <x v="200"/>
    <x v="2"/>
    <x v="0"/>
    <x v="648"/>
    <x v="1"/>
    <x v="10"/>
    <x v="2"/>
    <n v="4"/>
    <n v="476"/>
    <n v="1904"/>
    <x v="2"/>
  </r>
  <r>
    <n v="650"/>
    <x v="299"/>
    <x v="5"/>
    <x v="0"/>
    <x v="649"/>
    <x v="1"/>
    <x v="6"/>
    <x v="2"/>
    <n v="1"/>
    <n v="449"/>
    <n v="449"/>
    <x v="2"/>
  </r>
  <r>
    <n v="651"/>
    <x v="164"/>
    <x v="3"/>
    <x v="0"/>
    <x v="650"/>
    <x v="0"/>
    <x v="10"/>
    <x v="2"/>
    <n v="1"/>
    <n v="434"/>
    <n v="434"/>
    <x v="2"/>
  </r>
  <r>
    <n v="652"/>
    <x v="300"/>
    <x v="6"/>
    <x v="0"/>
    <x v="651"/>
    <x v="1"/>
    <x v="0"/>
    <x v="2"/>
    <n v="3"/>
    <n v="78"/>
    <n v="234"/>
    <x v="0"/>
  </r>
  <r>
    <n v="653"/>
    <x v="253"/>
    <x v="11"/>
    <x v="0"/>
    <x v="652"/>
    <x v="1"/>
    <x v="10"/>
    <x v="2"/>
    <n v="2"/>
    <n v="399"/>
    <n v="798"/>
    <x v="0"/>
  </r>
  <r>
    <n v="654"/>
    <x v="41"/>
    <x v="11"/>
    <x v="0"/>
    <x v="653"/>
    <x v="0"/>
    <x v="44"/>
    <x v="0"/>
    <n v="4"/>
    <n v="385"/>
    <n v="1540"/>
    <x v="0"/>
  </r>
  <r>
    <n v="655"/>
    <x v="275"/>
    <x v="6"/>
    <x v="0"/>
    <x v="654"/>
    <x v="1"/>
    <x v="19"/>
    <x v="1"/>
    <n v="4"/>
    <n v="105"/>
    <n v="420"/>
    <x v="0"/>
  </r>
  <r>
    <n v="656"/>
    <x v="39"/>
    <x v="6"/>
    <x v="0"/>
    <x v="655"/>
    <x v="0"/>
    <x v="44"/>
    <x v="1"/>
    <n v="2"/>
    <n v="234"/>
    <n v="468"/>
    <x v="0"/>
  </r>
  <r>
    <n v="657"/>
    <x v="159"/>
    <x v="8"/>
    <x v="0"/>
    <x v="656"/>
    <x v="1"/>
    <x v="33"/>
    <x v="2"/>
    <n v="3"/>
    <n v="146"/>
    <n v="438"/>
    <x v="0"/>
  </r>
  <r>
    <n v="658"/>
    <x v="150"/>
    <x v="11"/>
    <x v="0"/>
    <x v="657"/>
    <x v="0"/>
    <x v="13"/>
    <x v="0"/>
    <n v="4"/>
    <n v="103"/>
    <n v="412"/>
    <x v="0"/>
  </r>
  <r>
    <n v="659"/>
    <x v="39"/>
    <x v="6"/>
    <x v="0"/>
    <x v="658"/>
    <x v="1"/>
    <x v="3"/>
    <x v="2"/>
    <n v="1"/>
    <n v="175"/>
    <n v="175"/>
    <x v="0"/>
  </r>
  <r>
    <n v="660"/>
    <x v="178"/>
    <x v="8"/>
    <x v="0"/>
    <x v="659"/>
    <x v="1"/>
    <x v="27"/>
    <x v="1"/>
    <n v="1"/>
    <n v="130"/>
    <n v="130"/>
    <x v="0"/>
  </r>
  <r>
    <n v="661"/>
    <x v="261"/>
    <x v="10"/>
    <x v="0"/>
    <x v="660"/>
    <x v="1"/>
    <x v="16"/>
    <x v="2"/>
    <n v="1"/>
    <n v="182"/>
    <n v="182"/>
    <x v="1"/>
  </r>
  <r>
    <n v="662"/>
    <x v="161"/>
    <x v="5"/>
    <x v="0"/>
    <x v="661"/>
    <x v="1"/>
    <x v="45"/>
    <x v="0"/>
    <n v="3"/>
    <n v="71"/>
    <n v="213"/>
    <x v="2"/>
  </r>
  <r>
    <n v="663"/>
    <x v="301"/>
    <x v="0"/>
    <x v="0"/>
    <x v="662"/>
    <x v="1"/>
    <x v="36"/>
    <x v="2"/>
    <n v="4"/>
    <n v="214"/>
    <n v="856"/>
    <x v="0"/>
  </r>
  <r>
    <n v="664"/>
    <x v="44"/>
    <x v="1"/>
    <x v="0"/>
    <x v="663"/>
    <x v="1"/>
    <x v="8"/>
    <x v="2"/>
    <n v="4"/>
    <n v="263"/>
    <n v="1052"/>
    <x v="1"/>
  </r>
  <r>
    <n v="665"/>
    <x v="55"/>
    <x v="4"/>
    <x v="0"/>
    <x v="664"/>
    <x v="0"/>
    <x v="12"/>
    <x v="0"/>
    <n v="1"/>
    <n v="102"/>
    <n v="102"/>
    <x v="1"/>
  </r>
  <r>
    <n v="666"/>
    <x v="159"/>
    <x v="8"/>
    <x v="0"/>
    <x v="665"/>
    <x v="0"/>
    <x v="16"/>
    <x v="0"/>
    <n v="3"/>
    <n v="438"/>
    <n v="1314"/>
    <x v="0"/>
  </r>
  <r>
    <n v="667"/>
    <x v="256"/>
    <x v="7"/>
    <x v="0"/>
    <x v="666"/>
    <x v="1"/>
    <x v="15"/>
    <x v="1"/>
    <n v="1"/>
    <n v="455"/>
    <n v="455"/>
    <x v="2"/>
  </r>
  <r>
    <n v="668"/>
    <x v="211"/>
    <x v="5"/>
    <x v="0"/>
    <x v="667"/>
    <x v="1"/>
    <x v="6"/>
    <x v="0"/>
    <n v="4"/>
    <n v="318"/>
    <n v="1272"/>
    <x v="2"/>
  </r>
  <r>
    <n v="669"/>
    <x v="77"/>
    <x v="4"/>
    <x v="0"/>
    <x v="668"/>
    <x v="1"/>
    <x v="34"/>
    <x v="1"/>
    <n v="4"/>
    <n v="487"/>
    <n v="1948"/>
    <x v="1"/>
  </r>
  <r>
    <n v="670"/>
    <x v="300"/>
    <x v="6"/>
    <x v="0"/>
    <x v="669"/>
    <x v="0"/>
    <x v="41"/>
    <x v="2"/>
    <n v="2"/>
    <n v="110"/>
    <n v="220"/>
    <x v="0"/>
  </r>
  <r>
    <n v="671"/>
    <x v="302"/>
    <x v="1"/>
    <x v="0"/>
    <x v="670"/>
    <x v="0"/>
    <x v="43"/>
    <x v="1"/>
    <n v="4"/>
    <n v="65"/>
    <n v="260"/>
    <x v="1"/>
  </r>
  <r>
    <n v="672"/>
    <x v="146"/>
    <x v="8"/>
    <x v="0"/>
    <x v="671"/>
    <x v="1"/>
    <x v="27"/>
    <x v="0"/>
    <n v="2"/>
    <n v="452"/>
    <n v="904"/>
    <x v="0"/>
  </r>
  <r>
    <n v="673"/>
    <x v="193"/>
    <x v="0"/>
    <x v="0"/>
    <x v="672"/>
    <x v="1"/>
    <x v="31"/>
    <x v="0"/>
    <n v="1"/>
    <n v="69"/>
    <n v="69"/>
    <x v="0"/>
  </r>
  <r>
    <n v="674"/>
    <x v="211"/>
    <x v="5"/>
    <x v="0"/>
    <x v="673"/>
    <x v="1"/>
    <x v="2"/>
    <x v="2"/>
    <n v="3"/>
    <n v="291"/>
    <n v="873"/>
    <x v="2"/>
  </r>
  <r>
    <n v="675"/>
    <x v="48"/>
    <x v="2"/>
    <x v="0"/>
    <x v="674"/>
    <x v="0"/>
    <x v="11"/>
    <x v="0"/>
    <n v="4"/>
    <n v="82"/>
    <n v="328"/>
    <x v="2"/>
  </r>
  <r>
    <n v="676"/>
    <x v="79"/>
    <x v="2"/>
    <x v="0"/>
    <x v="675"/>
    <x v="0"/>
    <x v="30"/>
    <x v="0"/>
    <n v="1"/>
    <n v="498"/>
    <n v="498"/>
    <x v="2"/>
  </r>
  <r>
    <n v="677"/>
    <x v="81"/>
    <x v="11"/>
    <x v="0"/>
    <x v="676"/>
    <x v="0"/>
    <x v="39"/>
    <x v="0"/>
    <n v="3"/>
    <n v="474"/>
    <n v="1422"/>
    <x v="0"/>
  </r>
  <r>
    <n v="678"/>
    <x v="278"/>
    <x v="5"/>
    <x v="0"/>
    <x v="677"/>
    <x v="1"/>
    <x v="29"/>
    <x v="0"/>
    <n v="4"/>
    <n v="317"/>
    <n v="1268"/>
    <x v="2"/>
  </r>
  <r>
    <n v="679"/>
    <x v="303"/>
    <x v="0"/>
    <x v="0"/>
    <x v="678"/>
    <x v="1"/>
    <x v="8"/>
    <x v="1"/>
    <n v="3"/>
    <n v="231"/>
    <n v="693"/>
    <x v="0"/>
  </r>
  <r>
    <n v="680"/>
    <x v="142"/>
    <x v="10"/>
    <x v="0"/>
    <x v="679"/>
    <x v="1"/>
    <x v="8"/>
    <x v="2"/>
    <n v="3"/>
    <n v="378"/>
    <n v="1134"/>
    <x v="1"/>
  </r>
  <r>
    <n v="681"/>
    <x v="61"/>
    <x v="4"/>
    <x v="0"/>
    <x v="680"/>
    <x v="0"/>
    <x v="40"/>
    <x v="2"/>
    <n v="3"/>
    <n v="35"/>
    <n v="105"/>
    <x v="1"/>
  </r>
  <r>
    <n v="682"/>
    <x v="96"/>
    <x v="9"/>
    <x v="0"/>
    <x v="681"/>
    <x v="1"/>
    <x v="34"/>
    <x v="2"/>
    <n v="4"/>
    <n v="464"/>
    <n v="1856"/>
    <x v="1"/>
  </r>
  <r>
    <n v="683"/>
    <x v="159"/>
    <x v="8"/>
    <x v="0"/>
    <x v="682"/>
    <x v="0"/>
    <x v="9"/>
    <x v="1"/>
    <n v="3"/>
    <n v="405"/>
    <n v="1215"/>
    <x v="0"/>
  </r>
  <r>
    <n v="684"/>
    <x v="75"/>
    <x v="2"/>
    <x v="0"/>
    <x v="683"/>
    <x v="1"/>
    <x v="12"/>
    <x v="0"/>
    <n v="4"/>
    <n v="334"/>
    <n v="1336"/>
    <x v="2"/>
  </r>
  <r>
    <n v="685"/>
    <x v="219"/>
    <x v="0"/>
    <x v="0"/>
    <x v="684"/>
    <x v="0"/>
    <x v="27"/>
    <x v="2"/>
    <n v="2"/>
    <n v="492"/>
    <n v="984"/>
    <x v="0"/>
  </r>
  <r>
    <n v="686"/>
    <x v="304"/>
    <x v="5"/>
    <x v="0"/>
    <x v="685"/>
    <x v="1"/>
    <x v="18"/>
    <x v="2"/>
    <n v="1"/>
    <n v="288"/>
    <n v="288"/>
    <x v="2"/>
  </r>
  <r>
    <n v="687"/>
    <x v="63"/>
    <x v="10"/>
    <x v="0"/>
    <x v="686"/>
    <x v="0"/>
    <x v="34"/>
    <x v="0"/>
    <n v="4"/>
    <n v="94"/>
    <n v="376"/>
    <x v="1"/>
  </r>
  <r>
    <n v="688"/>
    <x v="196"/>
    <x v="3"/>
    <x v="0"/>
    <x v="687"/>
    <x v="0"/>
    <x v="36"/>
    <x v="1"/>
    <n v="2"/>
    <n v="453"/>
    <n v="906"/>
    <x v="2"/>
  </r>
  <r>
    <n v="689"/>
    <x v="42"/>
    <x v="6"/>
    <x v="0"/>
    <x v="688"/>
    <x v="0"/>
    <x v="8"/>
    <x v="2"/>
    <n v="1"/>
    <n v="495"/>
    <n v="495"/>
    <x v="0"/>
  </r>
  <r>
    <n v="690"/>
    <x v="281"/>
    <x v="5"/>
    <x v="0"/>
    <x v="689"/>
    <x v="0"/>
    <x v="12"/>
    <x v="2"/>
    <n v="4"/>
    <n v="283"/>
    <n v="1132"/>
    <x v="2"/>
  </r>
  <r>
    <n v="691"/>
    <x v="161"/>
    <x v="5"/>
    <x v="0"/>
    <x v="690"/>
    <x v="0"/>
    <x v="17"/>
    <x v="1"/>
    <n v="2"/>
    <n v="215"/>
    <n v="430"/>
    <x v="2"/>
  </r>
  <r>
    <n v="692"/>
    <x v="53"/>
    <x v="3"/>
    <x v="0"/>
    <x v="691"/>
    <x v="1"/>
    <x v="36"/>
    <x v="2"/>
    <n v="3"/>
    <n v="201"/>
    <n v="603"/>
    <x v="2"/>
  </r>
  <r>
    <n v="693"/>
    <x v="98"/>
    <x v="10"/>
    <x v="0"/>
    <x v="692"/>
    <x v="1"/>
    <x v="11"/>
    <x v="1"/>
    <n v="3"/>
    <n v="39"/>
    <n v="117"/>
    <x v="1"/>
  </r>
  <r>
    <n v="694"/>
    <x v="204"/>
    <x v="5"/>
    <x v="0"/>
    <x v="693"/>
    <x v="0"/>
    <x v="10"/>
    <x v="0"/>
    <n v="2"/>
    <n v="463"/>
    <n v="926"/>
    <x v="2"/>
  </r>
  <r>
    <n v="695"/>
    <x v="305"/>
    <x v="1"/>
    <x v="0"/>
    <x v="694"/>
    <x v="0"/>
    <x v="17"/>
    <x v="1"/>
    <n v="3"/>
    <n v="358"/>
    <n v="1074"/>
    <x v="1"/>
  </r>
  <r>
    <n v="696"/>
    <x v="123"/>
    <x v="5"/>
    <x v="0"/>
    <x v="695"/>
    <x v="0"/>
    <x v="17"/>
    <x v="1"/>
    <n v="4"/>
    <n v="491"/>
    <n v="1964"/>
    <x v="2"/>
  </r>
  <r>
    <n v="697"/>
    <x v="279"/>
    <x v="10"/>
    <x v="0"/>
    <x v="696"/>
    <x v="0"/>
    <x v="32"/>
    <x v="1"/>
    <n v="2"/>
    <n v="154"/>
    <n v="308"/>
    <x v="1"/>
  </r>
  <r>
    <n v="698"/>
    <x v="303"/>
    <x v="0"/>
    <x v="0"/>
    <x v="697"/>
    <x v="1"/>
    <x v="23"/>
    <x v="0"/>
    <n v="3"/>
    <n v="241"/>
    <n v="723"/>
    <x v="0"/>
  </r>
  <r>
    <n v="699"/>
    <x v="199"/>
    <x v="5"/>
    <x v="0"/>
    <x v="698"/>
    <x v="1"/>
    <x v="20"/>
    <x v="2"/>
    <n v="2"/>
    <n v="263"/>
    <n v="526"/>
    <x v="2"/>
  </r>
  <r>
    <n v="700"/>
    <x v="228"/>
    <x v="9"/>
    <x v="0"/>
    <x v="699"/>
    <x v="1"/>
    <x v="15"/>
    <x v="1"/>
    <n v="1"/>
    <n v="286"/>
    <n v="286"/>
    <x v="1"/>
  </r>
  <r>
    <n v="701"/>
    <x v="162"/>
    <x v="8"/>
    <x v="0"/>
    <x v="700"/>
    <x v="1"/>
    <x v="2"/>
    <x v="0"/>
    <n v="3"/>
    <n v="177"/>
    <n v="531"/>
    <x v="0"/>
  </r>
  <r>
    <n v="702"/>
    <x v="101"/>
    <x v="8"/>
    <x v="0"/>
    <x v="701"/>
    <x v="0"/>
    <x v="40"/>
    <x v="1"/>
    <n v="3"/>
    <n v="166"/>
    <n v="498"/>
    <x v="0"/>
  </r>
  <r>
    <n v="703"/>
    <x v="0"/>
    <x v="0"/>
    <x v="0"/>
    <x v="702"/>
    <x v="1"/>
    <x v="12"/>
    <x v="2"/>
    <n v="3"/>
    <n v="121"/>
    <n v="363"/>
    <x v="0"/>
  </r>
  <r>
    <n v="704"/>
    <x v="119"/>
    <x v="10"/>
    <x v="0"/>
    <x v="703"/>
    <x v="0"/>
    <x v="21"/>
    <x v="0"/>
    <n v="4"/>
    <n v="363"/>
    <n v="1452"/>
    <x v="1"/>
  </r>
  <r>
    <n v="705"/>
    <x v="254"/>
    <x v="9"/>
    <x v="0"/>
    <x v="704"/>
    <x v="0"/>
    <x v="46"/>
    <x v="1"/>
    <n v="4"/>
    <n v="176"/>
    <n v="704"/>
    <x v="1"/>
  </r>
  <r>
    <n v="706"/>
    <x v="85"/>
    <x v="4"/>
    <x v="0"/>
    <x v="705"/>
    <x v="1"/>
    <x v="13"/>
    <x v="2"/>
    <n v="1"/>
    <n v="323"/>
    <n v="323"/>
    <x v="1"/>
  </r>
  <r>
    <n v="707"/>
    <x v="35"/>
    <x v="8"/>
    <x v="0"/>
    <x v="706"/>
    <x v="0"/>
    <x v="44"/>
    <x v="0"/>
    <n v="2"/>
    <n v="376"/>
    <n v="752"/>
    <x v="0"/>
  </r>
  <r>
    <n v="708"/>
    <x v="227"/>
    <x v="7"/>
    <x v="0"/>
    <x v="707"/>
    <x v="1"/>
    <x v="33"/>
    <x v="2"/>
    <n v="3"/>
    <n v="457"/>
    <n v="1371"/>
    <x v="2"/>
  </r>
  <r>
    <n v="709"/>
    <x v="261"/>
    <x v="10"/>
    <x v="0"/>
    <x v="708"/>
    <x v="0"/>
    <x v="39"/>
    <x v="1"/>
    <n v="4"/>
    <n v="90"/>
    <n v="360"/>
    <x v="1"/>
  </r>
  <r>
    <n v="710"/>
    <x v="85"/>
    <x v="4"/>
    <x v="0"/>
    <x v="709"/>
    <x v="0"/>
    <x v="17"/>
    <x v="2"/>
    <n v="1"/>
    <n v="138"/>
    <n v="138"/>
    <x v="1"/>
  </r>
  <r>
    <n v="711"/>
    <x v="260"/>
    <x v="5"/>
    <x v="0"/>
    <x v="710"/>
    <x v="0"/>
    <x v="34"/>
    <x v="2"/>
    <n v="3"/>
    <n v="215"/>
    <n v="645"/>
    <x v="2"/>
  </r>
  <r>
    <n v="712"/>
    <x v="95"/>
    <x v="4"/>
    <x v="0"/>
    <x v="711"/>
    <x v="1"/>
    <x v="20"/>
    <x v="1"/>
    <n v="4"/>
    <n v="52"/>
    <n v="208"/>
    <x v="1"/>
  </r>
  <r>
    <n v="713"/>
    <x v="306"/>
    <x v="0"/>
    <x v="0"/>
    <x v="712"/>
    <x v="0"/>
    <x v="40"/>
    <x v="1"/>
    <n v="1"/>
    <n v="469"/>
    <n v="469"/>
    <x v="0"/>
  </r>
  <r>
    <n v="714"/>
    <x v="236"/>
    <x v="8"/>
    <x v="0"/>
    <x v="713"/>
    <x v="1"/>
    <x v="18"/>
    <x v="2"/>
    <n v="4"/>
    <n v="52"/>
    <n v="208"/>
    <x v="0"/>
  </r>
  <r>
    <n v="715"/>
    <x v="88"/>
    <x v="10"/>
    <x v="0"/>
    <x v="714"/>
    <x v="0"/>
    <x v="27"/>
    <x v="2"/>
    <n v="4"/>
    <n v="316"/>
    <n v="1264"/>
    <x v="1"/>
  </r>
  <r>
    <n v="716"/>
    <x v="48"/>
    <x v="2"/>
    <x v="0"/>
    <x v="715"/>
    <x v="0"/>
    <x v="31"/>
    <x v="0"/>
    <n v="2"/>
    <n v="423"/>
    <n v="846"/>
    <x v="2"/>
  </r>
  <r>
    <n v="717"/>
    <x v="46"/>
    <x v="11"/>
    <x v="0"/>
    <x v="716"/>
    <x v="1"/>
    <x v="44"/>
    <x v="0"/>
    <n v="2"/>
    <n v="185"/>
    <n v="370"/>
    <x v="0"/>
  </r>
  <r>
    <n v="718"/>
    <x v="306"/>
    <x v="0"/>
    <x v="0"/>
    <x v="717"/>
    <x v="0"/>
    <x v="3"/>
    <x v="2"/>
    <n v="3"/>
    <n v="132"/>
    <n v="396"/>
    <x v="0"/>
  </r>
  <r>
    <n v="719"/>
    <x v="76"/>
    <x v="10"/>
    <x v="0"/>
    <x v="718"/>
    <x v="0"/>
    <x v="45"/>
    <x v="1"/>
    <n v="2"/>
    <n v="339"/>
    <n v="678"/>
    <x v="1"/>
  </r>
  <r>
    <n v="720"/>
    <x v="24"/>
    <x v="2"/>
    <x v="0"/>
    <x v="719"/>
    <x v="1"/>
    <x v="13"/>
    <x v="2"/>
    <n v="4"/>
    <n v="221"/>
    <n v="884"/>
    <x v="2"/>
  </r>
  <r>
    <n v="721"/>
    <x v="206"/>
    <x v="6"/>
    <x v="0"/>
    <x v="720"/>
    <x v="0"/>
    <x v="6"/>
    <x v="1"/>
    <n v="3"/>
    <n v="32"/>
    <n v="96"/>
    <x v="0"/>
  </r>
  <r>
    <n v="722"/>
    <x v="131"/>
    <x v="9"/>
    <x v="0"/>
    <x v="721"/>
    <x v="0"/>
    <x v="0"/>
    <x v="0"/>
    <n v="1"/>
    <n v="345"/>
    <n v="345"/>
    <x v="1"/>
  </r>
  <r>
    <n v="723"/>
    <x v="271"/>
    <x v="4"/>
    <x v="0"/>
    <x v="722"/>
    <x v="0"/>
    <x v="11"/>
    <x v="2"/>
    <n v="3"/>
    <n v="91"/>
    <n v="273"/>
    <x v="1"/>
  </r>
  <r>
    <n v="724"/>
    <x v="189"/>
    <x v="11"/>
    <x v="0"/>
    <x v="723"/>
    <x v="1"/>
    <x v="26"/>
    <x v="0"/>
    <n v="3"/>
    <n v="110"/>
    <n v="330"/>
    <x v="0"/>
  </r>
  <r>
    <n v="725"/>
    <x v="118"/>
    <x v="11"/>
    <x v="0"/>
    <x v="724"/>
    <x v="0"/>
    <x v="34"/>
    <x v="2"/>
    <n v="4"/>
    <n v="397"/>
    <n v="1588"/>
    <x v="0"/>
  </r>
  <r>
    <n v="726"/>
    <x v="71"/>
    <x v="3"/>
    <x v="0"/>
    <x v="725"/>
    <x v="1"/>
    <x v="28"/>
    <x v="0"/>
    <n v="2"/>
    <n v="200"/>
    <n v="400"/>
    <x v="2"/>
  </r>
  <r>
    <n v="727"/>
    <x v="53"/>
    <x v="3"/>
    <x v="0"/>
    <x v="726"/>
    <x v="1"/>
    <x v="27"/>
    <x v="1"/>
    <n v="4"/>
    <n v="34"/>
    <n v="136"/>
    <x v="2"/>
  </r>
  <r>
    <n v="728"/>
    <x v="307"/>
    <x v="1"/>
    <x v="0"/>
    <x v="727"/>
    <x v="0"/>
    <x v="46"/>
    <x v="1"/>
    <n v="2"/>
    <n v="400"/>
    <n v="800"/>
    <x v="1"/>
  </r>
  <r>
    <n v="729"/>
    <x v="295"/>
    <x v="6"/>
    <x v="0"/>
    <x v="728"/>
    <x v="0"/>
    <x v="41"/>
    <x v="2"/>
    <n v="1"/>
    <n v="217"/>
    <n v="217"/>
    <x v="0"/>
  </r>
  <r>
    <n v="730"/>
    <x v="0"/>
    <x v="0"/>
    <x v="0"/>
    <x v="729"/>
    <x v="1"/>
    <x v="6"/>
    <x v="0"/>
    <n v="1"/>
    <n v="329"/>
    <n v="329"/>
    <x v="0"/>
  </r>
  <r>
    <n v="731"/>
    <x v="308"/>
    <x v="6"/>
    <x v="0"/>
    <x v="730"/>
    <x v="0"/>
    <x v="19"/>
    <x v="1"/>
    <n v="1"/>
    <n v="378"/>
    <n v="378"/>
    <x v="0"/>
  </r>
  <r>
    <n v="732"/>
    <x v="309"/>
    <x v="10"/>
    <x v="0"/>
    <x v="731"/>
    <x v="1"/>
    <x v="24"/>
    <x v="2"/>
    <n v="1"/>
    <n v="305"/>
    <n v="305"/>
    <x v="1"/>
  </r>
  <r>
    <n v="733"/>
    <x v="270"/>
    <x v="4"/>
    <x v="0"/>
    <x v="732"/>
    <x v="1"/>
    <x v="11"/>
    <x v="1"/>
    <n v="2"/>
    <n v="380"/>
    <n v="760"/>
    <x v="1"/>
  </r>
  <r>
    <n v="734"/>
    <x v="310"/>
    <x v="8"/>
    <x v="0"/>
    <x v="733"/>
    <x v="0"/>
    <x v="34"/>
    <x v="2"/>
    <n v="1"/>
    <n v="364"/>
    <n v="364"/>
    <x v="0"/>
  </r>
  <r>
    <n v="735"/>
    <x v="71"/>
    <x v="3"/>
    <x v="0"/>
    <x v="734"/>
    <x v="1"/>
    <x v="35"/>
    <x v="0"/>
    <n v="2"/>
    <n v="239"/>
    <n v="478"/>
    <x v="2"/>
  </r>
  <r>
    <n v="736"/>
    <x v="51"/>
    <x v="11"/>
    <x v="0"/>
    <x v="735"/>
    <x v="0"/>
    <x v="39"/>
    <x v="1"/>
    <n v="1"/>
    <n v="279"/>
    <n v="279"/>
    <x v="0"/>
  </r>
  <r>
    <n v="737"/>
    <x v="289"/>
    <x v="1"/>
    <x v="0"/>
    <x v="736"/>
    <x v="0"/>
    <x v="22"/>
    <x v="0"/>
    <n v="2"/>
    <n v="208"/>
    <n v="416"/>
    <x v="1"/>
  </r>
  <r>
    <n v="738"/>
    <x v="183"/>
    <x v="8"/>
    <x v="0"/>
    <x v="737"/>
    <x v="1"/>
    <x v="39"/>
    <x v="1"/>
    <n v="1"/>
    <n v="305"/>
    <n v="305"/>
    <x v="0"/>
  </r>
  <r>
    <n v="739"/>
    <x v="182"/>
    <x v="3"/>
    <x v="0"/>
    <x v="738"/>
    <x v="0"/>
    <x v="11"/>
    <x v="2"/>
    <n v="3"/>
    <n v="145"/>
    <n v="435"/>
    <x v="2"/>
  </r>
  <r>
    <n v="740"/>
    <x v="140"/>
    <x v="6"/>
    <x v="0"/>
    <x v="739"/>
    <x v="0"/>
    <x v="33"/>
    <x v="1"/>
    <n v="1"/>
    <n v="452"/>
    <n v="452"/>
    <x v="0"/>
  </r>
  <r>
    <n v="741"/>
    <x v="277"/>
    <x v="7"/>
    <x v="0"/>
    <x v="740"/>
    <x v="1"/>
    <x v="30"/>
    <x v="1"/>
    <n v="1"/>
    <n v="395"/>
    <n v="395"/>
    <x v="2"/>
  </r>
  <r>
    <n v="742"/>
    <x v="141"/>
    <x v="11"/>
    <x v="0"/>
    <x v="741"/>
    <x v="1"/>
    <x v="19"/>
    <x v="1"/>
    <n v="4"/>
    <n v="176"/>
    <n v="704"/>
    <x v="0"/>
  </r>
  <r>
    <n v="743"/>
    <x v="18"/>
    <x v="4"/>
    <x v="0"/>
    <x v="742"/>
    <x v="1"/>
    <x v="21"/>
    <x v="1"/>
    <n v="2"/>
    <n v="472"/>
    <n v="944"/>
    <x v="1"/>
  </r>
  <r>
    <n v="744"/>
    <x v="233"/>
    <x v="6"/>
    <x v="0"/>
    <x v="743"/>
    <x v="1"/>
    <x v="37"/>
    <x v="0"/>
    <n v="3"/>
    <n v="243"/>
    <n v="729"/>
    <x v="0"/>
  </r>
  <r>
    <n v="745"/>
    <x v="309"/>
    <x v="10"/>
    <x v="0"/>
    <x v="744"/>
    <x v="0"/>
    <x v="8"/>
    <x v="1"/>
    <n v="2"/>
    <n v="364"/>
    <n v="728"/>
    <x v="1"/>
  </r>
  <r>
    <n v="746"/>
    <x v="216"/>
    <x v="0"/>
    <x v="0"/>
    <x v="745"/>
    <x v="0"/>
    <x v="44"/>
    <x v="2"/>
    <n v="4"/>
    <n v="343"/>
    <n v="1372"/>
    <x v="0"/>
  </r>
  <r>
    <n v="747"/>
    <x v="16"/>
    <x v="4"/>
    <x v="0"/>
    <x v="746"/>
    <x v="0"/>
    <x v="37"/>
    <x v="2"/>
    <n v="2"/>
    <n v="83"/>
    <n v="166"/>
    <x v="1"/>
  </r>
  <r>
    <n v="748"/>
    <x v="311"/>
    <x v="5"/>
    <x v="0"/>
    <x v="747"/>
    <x v="1"/>
    <x v="20"/>
    <x v="2"/>
    <n v="4"/>
    <n v="378"/>
    <n v="1512"/>
    <x v="2"/>
  </r>
  <r>
    <n v="749"/>
    <x v="43"/>
    <x v="3"/>
    <x v="0"/>
    <x v="748"/>
    <x v="1"/>
    <x v="19"/>
    <x v="1"/>
    <n v="1"/>
    <n v="92"/>
    <n v="92"/>
    <x v="2"/>
  </r>
  <r>
    <n v="750"/>
    <x v="159"/>
    <x v="8"/>
    <x v="0"/>
    <x v="749"/>
    <x v="0"/>
    <x v="10"/>
    <x v="1"/>
    <n v="4"/>
    <n v="491"/>
    <n v="1964"/>
    <x v="0"/>
  </r>
  <r>
    <n v="751"/>
    <x v="312"/>
    <x v="7"/>
    <x v="0"/>
    <x v="750"/>
    <x v="1"/>
    <x v="42"/>
    <x v="0"/>
    <n v="4"/>
    <n v="117"/>
    <n v="468"/>
    <x v="2"/>
  </r>
  <r>
    <n v="752"/>
    <x v="157"/>
    <x v="0"/>
    <x v="0"/>
    <x v="751"/>
    <x v="1"/>
    <x v="5"/>
    <x v="0"/>
    <n v="1"/>
    <n v="466"/>
    <n v="466"/>
    <x v="0"/>
  </r>
  <r>
    <n v="753"/>
    <x v="101"/>
    <x v="8"/>
    <x v="0"/>
    <x v="752"/>
    <x v="0"/>
    <x v="40"/>
    <x v="2"/>
    <n v="1"/>
    <n v="479"/>
    <n v="479"/>
    <x v="0"/>
  </r>
  <r>
    <n v="754"/>
    <x v="278"/>
    <x v="5"/>
    <x v="0"/>
    <x v="753"/>
    <x v="1"/>
    <x v="8"/>
    <x v="1"/>
    <n v="3"/>
    <n v="360"/>
    <n v="1080"/>
    <x v="2"/>
  </r>
  <r>
    <n v="755"/>
    <x v="69"/>
    <x v="9"/>
    <x v="0"/>
    <x v="754"/>
    <x v="0"/>
    <x v="23"/>
    <x v="0"/>
    <n v="2"/>
    <n v="367"/>
    <n v="734"/>
    <x v="1"/>
  </r>
  <r>
    <n v="756"/>
    <x v="213"/>
    <x v="9"/>
    <x v="0"/>
    <x v="755"/>
    <x v="0"/>
    <x v="28"/>
    <x v="0"/>
    <n v="2"/>
    <n v="271"/>
    <n v="542"/>
    <x v="1"/>
  </r>
  <r>
    <n v="757"/>
    <x v="221"/>
    <x v="9"/>
    <x v="0"/>
    <x v="756"/>
    <x v="1"/>
    <x v="30"/>
    <x v="0"/>
    <n v="1"/>
    <n v="30"/>
    <n v="30"/>
    <x v="1"/>
  </r>
  <r>
    <n v="758"/>
    <x v="94"/>
    <x v="0"/>
    <x v="0"/>
    <x v="757"/>
    <x v="0"/>
    <x v="26"/>
    <x v="2"/>
    <n v="4"/>
    <n v="470"/>
    <n v="1880"/>
    <x v="0"/>
  </r>
  <r>
    <n v="759"/>
    <x v="313"/>
    <x v="10"/>
    <x v="0"/>
    <x v="758"/>
    <x v="0"/>
    <x v="45"/>
    <x v="2"/>
    <n v="2"/>
    <n v="194"/>
    <n v="388"/>
    <x v="1"/>
  </r>
  <r>
    <n v="760"/>
    <x v="5"/>
    <x v="4"/>
    <x v="0"/>
    <x v="759"/>
    <x v="0"/>
    <x v="26"/>
    <x v="1"/>
    <n v="4"/>
    <n v="231"/>
    <n v="924"/>
    <x v="1"/>
  </r>
  <r>
    <n v="761"/>
    <x v="77"/>
    <x v="4"/>
    <x v="0"/>
    <x v="760"/>
    <x v="0"/>
    <x v="20"/>
    <x v="2"/>
    <n v="4"/>
    <n v="70"/>
    <n v="280"/>
    <x v="1"/>
  </r>
  <r>
    <n v="762"/>
    <x v="287"/>
    <x v="3"/>
    <x v="0"/>
    <x v="761"/>
    <x v="1"/>
    <x v="31"/>
    <x v="1"/>
    <n v="4"/>
    <n v="406"/>
    <n v="1624"/>
    <x v="2"/>
  </r>
  <r>
    <n v="763"/>
    <x v="50"/>
    <x v="8"/>
    <x v="0"/>
    <x v="762"/>
    <x v="0"/>
    <x v="1"/>
    <x v="2"/>
    <n v="4"/>
    <n v="43"/>
    <n v="172"/>
    <x v="0"/>
  </r>
  <r>
    <n v="764"/>
    <x v="82"/>
    <x v="7"/>
    <x v="0"/>
    <x v="763"/>
    <x v="0"/>
    <x v="16"/>
    <x v="0"/>
    <n v="3"/>
    <n v="480"/>
    <n v="1440"/>
    <x v="2"/>
  </r>
  <r>
    <n v="765"/>
    <x v="314"/>
    <x v="3"/>
    <x v="0"/>
    <x v="764"/>
    <x v="0"/>
    <x v="19"/>
    <x v="0"/>
    <n v="4"/>
    <n v="199"/>
    <n v="796"/>
    <x v="2"/>
  </r>
  <r>
    <n v="766"/>
    <x v="151"/>
    <x v="5"/>
    <x v="0"/>
    <x v="765"/>
    <x v="0"/>
    <x v="9"/>
    <x v="2"/>
    <n v="3"/>
    <n v="311"/>
    <n v="933"/>
    <x v="2"/>
  </r>
  <r>
    <n v="767"/>
    <x v="121"/>
    <x v="0"/>
    <x v="0"/>
    <x v="766"/>
    <x v="1"/>
    <x v="23"/>
    <x v="0"/>
    <n v="3"/>
    <n v="391"/>
    <n v="1173"/>
    <x v="0"/>
  </r>
  <r>
    <n v="768"/>
    <x v="167"/>
    <x v="2"/>
    <x v="0"/>
    <x v="767"/>
    <x v="0"/>
    <x v="1"/>
    <x v="0"/>
    <n v="2"/>
    <n v="26"/>
    <n v="52"/>
    <x v="2"/>
  </r>
  <r>
    <n v="769"/>
    <x v="315"/>
    <x v="9"/>
    <x v="0"/>
    <x v="768"/>
    <x v="1"/>
    <x v="7"/>
    <x v="2"/>
    <n v="3"/>
    <n v="384"/>
    <n v="1152"/>
    <x v="1"/>
  </r>
  <r>
    <n v="770"/>
    <x v="81"/>
    <x v="11"/>
    <x v="0"/>
    <x v="769"/>
    <x v="0"/>
    <x v="10"/>
    <x v="2"/>
    <n v="2"/>
    <n v="445"/>
    <n v="890"/>
    <x v="0"/>
  </r>
  <r>
    <n v="771"/>
    <x v="123"/>
    <x v="5"/>
    <x v="0"/>
    <x v="770"/>
    <x v="0"/>
    <x v="22"/>
    <x v="0"/>
    <n v="2"/>
    <n v="121"/>
    <n v="242"/>
    <x v="2"/>
  </r>
  <r>
    <n v="772"/>
    <x v="45"/>
    <x v="10"/>
    <x v="0"/>
    <x v="771"/>
    <x v="1"/>
    <x v="4"/>
    <x v="2"/>
    <n v="2"/>
    <n v="391"/>
    <n v="782"/>
    <x v="1"/>
  </r>
  <r>
    <n v="773"/>
    <x v="213"/>
    <x v="9"/>
    <x v="0"/>
    <x v="772"/>
    <x v="0"/>
    <x v="38"/>
    <x v="1"/>
    <n v="1"/>
    <n v="420"/>
    <n v="420"/>
    <x v="1"/>
  </r>
  <r>
    <n v="774"/>
    <x v="252"/>
    <x v="2"/>
    <x v="0"/>
    <x v="773"/>
    <x v="1"/>
    <x v="33"/>
    <x v="0"/>
    <n v="2"/>
    <n v="280"/>
    <n v="560"/>
    <x v="2"/>
  </r>
  <r>
    <n v="775"/>
    <x v="206"/>
    <x v="6"/>
    <x v="0"/>
    <x v="774"/>
    <x v="0"/>
    <x v="2"/>
    <x v="2"/>
    <n v="4"/>
    <n v="498"/>
    <n v="1992"/>
    <x v="0"/>
  </r>
  <r>
    <n v="776"/>
    <x v="314"/>
    <x v="3"/>
    <x v="0"/>
    <x v="775"/>
    <x v="0"/>
    <x v="11"/>
    <x v="0"/>
    <n v="2"/>
    <n v="399"/>
    <n v="798"/>
    <x v="2"/>
  </r>
  <r>
    <n v="777"/>
    <x v="58"/>
    <x v="10"/>
    <x v="0"/>
    <x v="776"/>
    <x v="0"/>
    <x v="29"/>
    <x v="0"/>
    <n v="3"/>
    <n v="283"/>
    <n v="849"/>
    <x v="1"/>
  </r>
  <r>
    <n v="778"/>
    <x v="245"/>
    <x v="5"/>
    <x v="0"/>
    <x v="777"/>
    <x v="1"/>
    <x v="32"/>
    <x v="0"/>
    <n v="2"/>
    <n v="165"/>
    <n v="330"/>
    <x v="2"/>
  </r>
  <r>
    <n v="779"/>
    <x v="161"/>
    <x v="5"/>
    <x v="0"/>
    <x v="778"/>
    <x v="1"/>
    <x v="39"/>
    <x v="2"/>
    <n v="2"/>
    <n v="95"/>
    <n v="190"/>
    <x v="2"/>
  </r>
  <r>
    <n v="780"/>
    <x v="316"/>
    <x v="5"/>
    <x v="0"/>
    <x v="779"/>
    <x v="1"/>
    <x v="11"/>
    <x v="0"/>
    <n v="3"/>
    <n v="389"/>
    <n v="1167"/>
    <x v="2"/>
  </r>
  <r>
    <n v="781"/>
    <x v="34"/>
    <x v="7"/>
    <x v="0"/>
    <x v="780"/>
    <x v="0"/>
    <x v="27"/>
    <x v="1"/>
    <n v="3"/>
    <n v="376"/>
    <n v="1128"/>
    <x v="2"/>
  </r>
  <r>
    <n v="782"/>
    <x v="317"/>
    <x v="9"/>
    <x v="0"/>
    <x v="781"/>
    <x v="0"/>
    <x v="23"/>
    <x v="0"/>
    <n v="2"/>
    <n v="282"/>
    <n v="564"/>
    <x v="1"/>
  </r>
  <r>
    <n v="783"/>
    <x v="256"/>
    <x v="7"/>
    <x v="0"/>
    <x v="782"/>
    <x v="1"/>
    <x v="23"/>
    <x v="1"/>
    <n v="3"/>
    <n v="312"/>
    <n v="936"/>
    <x v="2"/>
  </r>
  <r>
    <n v="784"/>
    <x v="164"/>
    <x v="3"/>
    <x v="0"/>
    <x v="783"/>
    <x v="1"/>
    <x v="17"/>
    <x v="0"/>
    <n v="3"/>
    <n v="474"/>
    <n v="1422"/>
    <x v="2"/>
  </r>
  <r>
    <n v="785"/>
    <x v="2"/>
    <x v="2"/>
    <x v="0"/>
    <x v="784"/>
    <x v="0"/>
    <x v="18"/>
    <x v="1"/>
    <n v="1"/>
    <n v="220"/>
    <n v="220"/>
    <x v="2"/>
  </r>
  <r>
    <n v="786"/>
    <x v="318"/>
    <x v="10"/>
    <x v="0"/>
    <x v="785"/>
    <x v="0"/>
    <x v="33"/>
    <x v="1"/>
    <n v="2"/>
    <n v="161"/>
    <n v="322"/>
    <x v="1"/>
  </r>
  <r>
    <n v="787"/>
    <x v="319"/>
    <x v="10"/>
    <x v="0"/>
    <x v="786"/>
    <x v="1"/>
    <x v="17"/>
    <x v="2"/>
    <n v="2"/>
    <n v="454"/>
    <n v="908"/>
    <x v="1"/>
  </r>
  <r>
    <n v="788"/>
    <x v="238"/>
    <x v="11"/>
    <x v="0"/>
    <x v="787"/>
    <x v="1"/>
    <x v="4"/>
    <x v="0"/>
    <n v="1"/>
    <n v="208"/>
    <n v="208"/>
    <x v="0"/>
  </r>
  <r>
    <n v="789"/>
    <x v="167"/>
    <x v="2"/>
    <x v="0"/>
    <x v="788"/>
    <x v="0"/>
    <x v="35"/>
    <x v="0"/>
    <n v="2"/>
    <n v="405"/>
    <n v="810"/>
    <x v="2"/>
  </r>
  <r>
    <n v="790"/>
    <x v="216"/>
    <x v="0"/>
    <x v="0"/>
    <x v="789"/>
    <x v="1"/>
    <x v="14"/>
    <x v="0"/>
    <n v="3"/>
    <n v="379"/>
    <n v="1137"/>
    <x v="0"/>
  </r>
  <r>
    <n v="791"/>
    <x v="209"/>
    <x v="8"/>
    <x v="0"/>
    <x v="790"/>
    <x v="0"/>
    <x v="29"/>
    <x v="2"/>
    <n v="4"/>
    <n v="428"/>
    <n v="1712"/>
    <x v="0"/>
  </r>
  <r>
    <n v="792"/>
    <x v="101"/>
    <x v="8"/>
    <x v="0"/>
    <x v="791"/>
    <x v="1"/>
    <x v="2"/>
    <x v="1"/>
    <n v="1"/>
    <n v="405"/>
    <n v="405"/>
    <x v="0"/>
  </r>
  <r>
    <n v="793"/>
    <x v="127"/>
    <x v="4"/>
    <x v="0"/>
    <x v="792"/>
    <x v="0"/>
    <x v="35"/>
    <x v="2"/>
    <n v="2"/>
    <n v="491"/>
    <n v="982"/>
    <x v="1"/>
  </r>
  <r>
    <n v="794"/>
    <x v="306"/>
    <x v="0"/>
    <x v="0"/>
    <x v="793"/>
    <x v="1"/>
    <x v="15"/>
    <x v="0"/>
    <n v="2"/>
    <n v="422"/>
    <n v="844"/>
    <x v="0"/>
  </r>
  <r>
    <n v="795"/>
    <x v="113"/>
    <x v="1"/>
    <x v="0"/>
    <x v="794"/>
    <x v="1"/>
    <x v="24"/>
    <x v="1"/>
    <n v="1"/>
    <n v="120"/>
    <n v="120"/>
    <x v="1"/>
  </r>
  <r>
    <n v="796"/>
    <x v="220"/>
    <x v="10"/>
    <x v="0"/>
    <x v="795"/>
    <x v="0"/>
    <x v="29"/>
    <x v="1"/>
    <n v="4"/>
    <n v="167"/>
    <n v="668"/>
    <x v="1"/>
  </r>
  <r>
    <n v="797"/>
    <x v="108"/>
    <x v="7"/>
    <x v="0"/>
    <x v="796"/>
    <x v="1"/>
    <x v="43"/>
    <x v="1"/>
    <n v="3"/>
    <n v="27"/>
    <n v="81"/>
    <x v="2"/>
  </r>
  <r>
    <n v="798"/>
    <x v="36"/>
    <x v="9"/>
    <x v="0"/>
    <x v="797"/>
    <x v="1"/>
    <x v="23"/>
    <x v="1"/>
    <n v="1"/>
    <n v="103"/>
    <n v="103"/>
    <x v="1"/>
  </r>
  <r>
    <n v="799"/>
    <x v="27"/>
    <x v="9"/>
    <x v="0"/>
    <x v="798"/>
    <x v="0"/>
    <x v="7"/>
    <x v="0"/>
    <n v="3"/>
    <n v="276"/>
    <n v="828"/>
    <x v="1"/>
  </r>
  <r>
    <n v="800"/>
    <x v="277"/>
    <x v="7"/>
    <x v="0"/>
    <x v="799"/>
    <x v="1"/>
    <x v="25"/>
    <x v="0"/>
    <n v="3"/>
    <n v="294"/>
    <n v="882"/>
    <x v="2"/>
  </r>
  <r>
    <n v="801"/>
    <x v="92"/>
    <x v="1"/>
    <x v="0"/>
    <x v="800"/>
    <x v="0"/>
    <x v="18"/>
    <x v="1"/>
    <n v="2"/>
    <n v="237"/>
    <n v="474"/>
    <x v="1"/>
  </r>
  <r>
    <n v="802"/>
    <x v="210"/>
    <x v="7"/>
    <x v="0"/>
    <x v="801"/>
    <x v="1"/>
    <x v="16"/>
    <x v="2"/>
    <n v="2"/>
    <n v="477"/>
    <n v="954"/>
    <x v="2"/>
  </r>
  <r>
    <n v="803"/>
    <x v="89"/>
    <x v="1"/>
    <x v="0"/>
    <x v="802"/>
    <x v="1"/>
    <x v="44"/>
    <x v="2"/>
    <n v="3"/>
    <n v="136"/>
    <n v="408"/>
    <x v="1"/>
  </r>
  <r>
    <n v="804"/>
    <x v="177"/>
    <x v="0"/>
    <x v="0"/>
    <x v="803"/>
    <x v="1"/>
    <x v="2"/>
    <x v="0"/>
    <n v="1"/>
    <n v="83"/>
    <n v="83"/>
    <x v="0"/>
  </r>
  <r>
    <n v="805"/>
    <x v="257"/>
    <x v="8"/>
    <x v="0"/>
    <x v="804"/>
    <x v="1"/>
    <x v="24"/>
    <x v="1"/>
    <n v="2"/>
    <n v="45"/>
    <n v="90"/>
    <x v="0"/>
  </r>
  <r>
    <n v="806"/>
    <x v="146"/>
    <x v="8"/>
    <x v="0"/>
    <x v="805"/>
    <x v="1"/>
    <x v="29"/>
    <x v="1"/>
    <n v="4"/>
    <n v="156"/>
    <n v="624"/>
    <x v="0"/>
  </r>
  <r>
    <n v="807"/>
    <x v="31"/>
    <x v="7"/>
    <x v="0"/>
    <x v="806"/>
    <x v="1"/>
    <x v="0"/>
    <x v="0"/>
    <n v="3"/>
    <n v="288"/>
    <n v="864"/>
    <x v="2"/>
  </r>
  <r>
    <n v="808"/>
    <x v="314"/>
    <x v="3"/>
    <x v="0"/>
    <x v="807"/>
    <x v="1"/>
    <x v="45"/>
    <x v="1"/>
    <n v="3"/>
    <n v="484"/>
    <n v="1452"/>
    <x v="2"/>
  </r>
  <r>
    <n v="809"/>
    <x v="266"/>
    <x v="0"/>
    <x v="0"/>
    <x v="808"/>
    <x v="0"/>
    <x v="31"/>
    <x v="0"/>
    <n v="1"/>
    <n v="74"/>
    <n v="74"/>
    <x v="0"/>
  </r>
  <r>
    <n v="810"/>
    <x v="298"/>
    <x v="10"/>
    <x v="0"/>
    <x v="809"/>
    <x v="0"/>
    <x v="7"/>
    <x v="1"/>
    <n v="2"/>
    <n v="368"/>
    <n v="736"/>
    <x v="1"/>
  </r>
  <r>
    <n v="811"/>
    <x v="136"/>
    <x v="0"/>
    <x v="0"/>
    <x v="810"/>
    <x v="0"/>
    <x v="17"/>
    <x v="2"/>
    <n v="1"/>
    <n v="130"/>
    <n v="130"/>
    <x v="0"/>
  </r>
  <r>
    <n v="812"/>
    <x v="105"/>
    <x v="7"/>
    <x v="0"/>
    <x v="811"/>
    <x v="1"/>
    <x v="19"/>
    <x v="1"/>
    <n v="2"/>
    <n v="37"/>
    <n v="74"/>
    <x v="2"/>
  </r>
  <r>
    <n v="813"/>
    <x v="104"/>
    <x v="2"/>
    <x v="0"/>
    <x v="812"/>
    <x v="1"/>
    <x v="8"/>
    <x v="1"/>
    <n v="1"/>
    <n v="52"/>
    <n v="52"/>
    <x v="2"/>
  </r>
  <r>
    <n v="814"/>
    <x v="25"/>
    <x v="1"/>
    <x v="0"/>
    <x v="813"/>
    <x v="1"/>
    <x v="2"/>
    <x v="1"/>
    <n v="2"/>
    <n v="491"/>
    <n v="982"/>
    <x v="1"/>
  </r>
  <r>
    <n v="815"/>
    <x v="85"/>
    <x v="4"/>
    <x v="0"/>
    <x v="814"/>
    <x v="1"/>
    <x v="29"/>
    <x v="2"/>
    <n v="4"/>
    <n v="246"/>
    <n v="984"/>
    <x v="1"/>
  </r>
  <r>
    <n v="816"/>
    <x v="263"/>
    <x v="9"/>
    <x v="0"/>
    <x v="815"/>
    <x v="0"/>
    <x v="29"/>
    <x v="0"/>
    <n v="1"/>
    <n v="298"/>
    <n v="298"/>
    <x v="1"/>
  </r>
  <r>
    <n v="817"/>
    <x v="320"/>
    <x v="6"/>
    <x v="0"/>
    <x v="816"/>
    <x v="0"/>
    <x v="15"/>
    <x v="1"/>
    <n v="1"/>
    <n v="208"/>
    <n v="208"/>
    <x v="0"/>
  </r>
  <r>
    <n v="818"/>
    <x v="249"/>
    <x v="3"/>
    <x v="0"/>
    <x v="817"/>
    <x v="0"/>
    <x v="39"/>
    <x v="0"/>
    <n v="3"/>
    <n v="335"/>
    <n v="1005"/>
    <x v="2"/>
  </r>
  <r>
    <n v="819"/>
    <x v="286"/>
    <x v="11"/>
    <x v="0"/>
    <x v="818"/>
    <x v="1"/>
    <x v="24"/>
    <x v="2"/>
    <n v="4"/>
    <n v="445"/>
    <n v="1780"/>
    <x v="0"/>
  </r>
  <r>
    <n v="820"/>
    <x v="178"/>
    <x v="8"/>
    <x v="0"/>
    <x v="819"/>
    <x v="0"/>
    <x v="40"/>
    <x v="1"/>
    <n v="2"/>
    <n v="94"/>
    <n v="188"/>
    <x v="0"/>
  </r>
  <r>
    <n v="821"/>
    <x v="321"/>
    <x v="5"/>
    <x v="0"/>
    <x v="820"/>
    <x v="1"/>
    <x v="7"/>
    <x v="1"/>
    <n v="3"/>
    <n v="371"/>
    <n v="1113"/>
    <x v="2"/>
  </r>
  <r>
    <n v="822"/>
    <x v="216"/>
    <x v="0"/>
    <x v="0"/>
    <x v="821"/>
    <x v="1"/>
    <x v="3"/>
    <x v="0"/>
    <n v="2"/>
    <n v="88"/>
    <n v="176"/>
    <x v="0"/>
  </r>
  <r>
    <n v="823"/>
    <x v="241"/>
    <x v="6"/>
    <x v="0"/>
    <x v="822"/>
    <x v="0"/>
    <x v="42"/>
    <x v="0"/>
    <n v="4"/>
    <n v="300"/>
    <n v="1200"/>
    <x v="0"/>
  </r>
  <r>
    <n v="824"/>
    <x v="84"/>
    <x v="7"/>
    <x v="0"/>
    <x v="823"/>
    <x v="0"/>
    <x v="34"/>
    <x v="1"/>
    <n v="3"/>
    <n v="133"/>
    <n v="399"/>
    <x v="2"/>
  </r>
  <r>
    <n v="825"/>
    <x v="316"/>
    <x v="5"/>
    <x v="0"/>
    <x v="824"/>
    <x v="0"/>
    <x v="10"/>
    <x v="1"/>
    <n v="2"/>
    <n v="340"/>
    <n v="680"/>
    <x v="2"/>
  </r>
  <r>
    <n v="826"/>
    <x v="270"/>
    <x v="4"/>
    <x v="0"/>
    <x v="825"/>
    <x v="0"/>
    <x v="41"/>
    <x v="1"/>
    <n v="1"/>
    <n v="460"/>
    <n v="460"/>
    <x v="1"/>
  </r>
  <r>
    <n v="827"/>
    <x v="322"/>
    <x v="7"/>
    <x v="0"/>
    <x v="826"/>
    <x v="1"/>
    <x v="19"/>
    <x v="0"/>
    <n v="1"/>
    <n v="173"/>
    <n v="173"/>
    <x v="2"/>
  </r>
  <r>
    <n v="828"/>
    <x v="12"/>
    <x v="8"/>
    <x v="0"/>
    <x v="827"/>
    <x v="0"/>
    <x v="22"/>
    <x v="1"/>
    <n v="2"/>
    <n v="396"/>
    <n v="792"/>
    <x v="0"/>
  </r>
  <r>
    <n v="829"/>
    <x v="68"/>
    <x v="7"/>
    <x v="0"/>
    <x v="828"/>
    <x v="1"/>
    <x v="44"/>
    <x v="2"/>
    <n v="2"/>
    <n v="368"/>
    <n v="736"/>
    <x v="2"/>
  </r>
  <r>
    <n v="830"/>
    <x v="17"/>
    <x v="8"/>
    <x v="0"/>
    <x v="829"/>
    <x v="0"/>
    <x v="1"/>
    <x v="2"/>
    <n v="1"/>
    <n v="485"/>
    <n v="485"/>
    <x v="0"/>
  </r>
  <r>
    <n v="831"/>
    <x v="113"/>
    <x v="1"/>
    <x v="0"/>
    <x v="830"/>
    <x v="1"/>
    <x v="45"/>
    <x v="2"/>
    <n v="3"/>
    <n v="340"/>
    <n v="1020"/>
    <x v="1"/>
  </r>
  <r>
    <n v="832"/>
    <x v="323"/>
    <x v="8"/>
    <x v="0"/>
    <x v="831"/>
    <x v="1"/>
    <x v="11"/>
    <x v="0"/>
    <n v="2"/>
    <n v="314"/>
    <n v="628"/>
    <x v="0"/>
  </r>
  <r>
    <n v="833"/>
    <x v="176"/>
    <x v="7"/>
    <x v="0"/>
    <x v="832"/>
    <x v="1"/>
    <x v="31"/>
    <x v="2"/>
    <n v="2"/>
    <n v="27"/>
    <n v="54"/>
    <x v="2"/>
  </r>
  <r>
    <n v="834"/>
    <x v="69"/>
    <x v="9"/>
    <x v="0"/>
    <x v="833"/>
    <x v="0"/>
    <x v="9"/>
    <x v="0"/>
    <n v="4"/>
    <n v="166"/>
    <n v="664"/>
    <x v="1"/>
  </r>
  <r>
    <n v="835"/>
    <x v="281"/>
    <x v="5"/>
    <x v="0"/>
    <x v="834"/>
    <x v="0"/>
    <x v="17"/>
    <x v="0"/>
    <n v="3"/>
    <n v="474"/>
    <n v="1422"/>
    <x v="2"/>
  </r>
  <r>
    <n v="836"/>
    <x v="164"/>
    <x v="3"/>
    <x v="0"/>
    <x v="835"/>
    <x v="1"/>
    <x v="24"/>
    <x v="2"/>
    <n v="3"/>
    <n v="274"/>
    <n v="822"/>
    <x v="2"/>
  </r>
  <r>
    <n v="837"/>
    <x v="8"/>
    <x v="7"/>
    <x v="0"/>
    <x v="836"/>
    <x v="0"/>
    <x v="36"/>
    <x v="0"/>
    <n v="1"/>
    <n v="455"/>
    <n v="455"/>
    <x v="2"/>
  </r>
  <r>
    <n v="838"/>
    <x v="268"/>
    <x v="4"/>
    <x v="0"/>
    <x v="837"/>
    <x v="0"/>
    <x v="6"/>
    <x v="1"/>
    <n v="3"/>
    <n v="400"/>
    <n v="1200"/>
    <x v="1"/>
  </r>
  <r>
    <n v="839"/>
    <x v="125"/>
    <x v="0"/>
    <x v="0"/>
    <x v="838"/>
    <x v="0"/>
    <x v="46"/>
    <x v="1"/>
    <n v="1"/>
    <n v="459"/>
    <n v="459"/>
    <x v="0"/>
  </r>
  <r>
    <n v="840"/>
    <x v="192"/>
    <x v="3"/>
    <x v="0"/>
    <x v="839"/>
    <x v="0"/>
    <x v="15"/>
    <x v="0"/>
    <n v="4"/>
    <n v="418"/>
    <n v="1672"/>
    <x v="2"/>
  </r>
  <r>
    <n v="841"/>
    <x v="312"/>
    <x v="7"/>
    <x v="0"/>
    <x v="840"/>
    <x v="0"/>
    <x v="8"/>
    <x v="0"/>
    <n v="3"/>
    <n v="303"/>
    <n v="909"/>
    <x v="2"/>
  </r>
  <r>
    <n v="842"/>
    <x v="31"/>
    <x v="7"/>
    <x v="0"/>
    <x v="841"/>
    <x v="1"/>
    <x v="19"/>
    <x v="1"/>
    <n v="3"/>
    <n v="225"/>
    <n v="675"/>
    <x v="2"/>
  </r>
  <r>
    <n v="843"/>
    <x v="1"/>
    <x v="1"/>
    <x v="0"/>
    <x v="842"/>
    <x v="1"/>
    <x v="43"/>
    <x v="2"/>
    <n v="1"/>
    <n v="228"/>
    <n v="228"/>
    <x v="1"/>
  </r>
  <r>
    <n v="844"/>
    <x v="151"/>
    <x v="5"/>
    <x v="0"/>
    <x v="843"/>
    <x v="0"/>
    <x v="33"/>
    <x v="1"/>
    <n v="2"/>
    <n v="412"/>
    <n v="824"/>
    <x v="2"/>
  </r>
  <r>
    <n v="845"/>
    <x v="207"/>
    <x v="3"/>
    <x v="0"/>
    <x v="844"/>
    <x v="0"/>
    <x v="24"/>
    <x v="1"/>
    <n v="2"/>
    <n v="314"/>
    <n v="628"/>
    <x v="2"/>
  </r>
  <r>
    <n v="846"/>
    <x v="291"/>
    <x v="7"/>
    <x v="0"/>
    <x v="845"/>
    <x v="0"/>
    <x v="46"/>
    <x v="2"/>
    <n v="3"/>
    <n v="45"/>
    <n v="135"/>
    <x v="2"/>
  </r>
  <r>
    <n v="847"/>
    <x v="92"/>
    <x v="1"/>
    <x v="0"/>
    <x v="846"/>
    <x v="1"/>
    <x v="9"/>
    <x v="1"/>
    <n v="3"/>
    <n v="214"/>
    <n v="642"/>
    <x v="1"/>
  </r>
  <r>
    <n v="848"/>
    <x v="242"/>
    <x v="1"/>
    <x v="0"/>
    <x v="847"/>
    <x v="0"/>
    <x v="33"/>
    <x v="1"/>
    <n v="3"/>
    <n v="223"/>
    <n v="669"/>
    <x v="1"/>
  </r>
  <r>
    <n v="849"/>
    <x v="201"/>
    <x v="2"/>
    <x v="0"/>
    <x v="848"/>
    <x v="1"/>
    <x v="8"/>
    <x v="1"/>
    <n v="3"/>
    <n v="77"/>
    <n v="231"/>
    <x v="2"/>
  </r>
  <r>
    <n v="850"/>
    <x v="183"/>
    <x v="8"/>
    <x v="0"/>
    <x v="849"/>
    <x v="1"/>
    <x v="22"/>
    <x v="0"/>
    <n v="2"/>
    <n v="217"/>
    <n v="434"/>
    <x v="0"/>
  </r>
  <r>
    <n v="851"/>
    <x v="50"/>
    <x v="8"/>
    <x v="0"/>
    <x v="850"/>
    <x v="1"/>
    <x v="37"/>
    <x v="0"/>
    <n v="1"/>
    <n v="289"/>
    <n v="289"/>
    <x v="0"/>
  </r>
  <r>
    <n v="852"/>
    <x v="127"/>
    <x v="4"/>
    <x v="0"/>
    <x v="851"/>
    <x v="1"/>
    <x v="9"/>
    <x v="0"/>
    <n v="4"/>
    <n v="205"/>
    <n v="820"/>
    <x v="1"/>
  </r>
  <r>
    <n v="853"/>
    <x v="317"/>
    <x v="9"/>
    <x v="0"/>
    <x v="852"/>
    <x v="1"/>
    <x v="40"/>
    <x v="0"/>
    <n v="1"/>
    <n v="281"/>
    <n v="281"/>
    <x v="1"/>
  </r>
  <r>
    <n v="854"/>
    <x v="244"/>
    <x v="10"/>
    <x v="0"/>
    <x v="853"/>
    <x v="1"/>
    <x v="10"/>
    <x v="1"/>
    <n v="1"/>
    <n v="288"/>
    <n v="288"/>
    <x v="1"/>
  </r>
  <r>
    <n v="855"/>
    <x v="94"/>
    <x v="0"/>
    <x v="0"/>
    <x v="854"/>
    <x v="1"/>
    <x v="4"/>
    <x v="1"/>
    <n v="2"/>
    <n v="105"/>
    <n v="210"/>
    <x v="0"/>
  </r>
  <r>
    <n v="856"/>
    <x v="160"/>
    <x v="5"/>
    <x v="0"/>
    <x v="855"/>
    <x v="0"/>
    <x v="33"/>
    <x v="1"/>
    <n v="4"/>
    <n v="440"/>
    <n v="1760"/>
    <x v="2"/>
  </r>
  <r>
    <n v="857"/>
    <x v="36"/>
    <x v="9"/>
    <x v="0"/>
    <x v="856"/>
    <x v="0"/>
    <x v="40"/>
    <x v="0"/>
    <n v="4"/>
    <n v="270"/>
    <n v="1080"/>
    <x v="1"/>
  </r>
  <r>
    <n v="858"/>
    <x v="324"/>
    <x v="1"/>
    <x v="0"/>
    <x v="857"/>
    <x v="0"/>
    <x v="19"/>
    <x v="2"/>
    <n v="1"/>
    <n v="149"/>
    <n v="149"/>
    <x v="1"/>
  </r>
  <r>
    <n v="859"/>
    <x v="7"/>
    <x v="6"/>
    <x v="0"/>
    <x v="858"/>
    <x v="0"/>
    <x v="42"/>
    <x v="0"/>
    <n v="2"/>
    <n v="93"/>
    <n v="186"/>
    <x v="0"/>
  </r>
  <r>
    <n v="860"/>
    <x v="136"/>
    <x v="0"/>
    <x v="0"/>
    <x v="859"/>
    <x v="0"/>
    <x v="42"/>
    <x v="1"/>
    <n v="1"/>
    <n v="110"/>
    <n v="110"/>
    <x v="0"/>
  </r>
  <r>
    <n v="861"/>
    <x v="85"/>
    <x v="4"/>
    <x v="0"/>
    <x v="860"/>
    <x v="0"/>
    <x v="18"/>
    <x v="2"/>
    <n v="1"/>
    <n v="474"/>
    <n v="474"/>
    <x v="1"/>
  </r>
  <r>
    <n v="862"/>
    <x v="178"/>
    <x v="8"/>
    <x v="0"/>
    <x v="861"/>
    <x v="1"/>
    <x v="16"/>
    <x v="1"/>
    <n v="4"/>
    <n v="335"/>
    <n v="1340"/>
    <x v="0"/>
  </r>
  <r>
    <n v="863"/>
    <x v="205"/>
    <x v="2"/>
    <x v="0"/>
    <x v="862"/>
    <x v="1"/>
    <x v="10"/>
    <x v="1"/>
    <n v="4"/>
    <n v="332"/>
    <n v="1328"/>
    <x v="2"/>
  </r>
  <r>
    <n v="864"/>
    <x v="142"/>
    <x v="10"/>
    <x v="0"/>
    <x v="863"/>
    <x v="0"/>
    <x v="35"/>
    <x v="0"/>
    <n v="3"/>
    <n v="110"/>
    <n v="330"/>
    <x v="1"/>
  </r>
  <r>
    <n v="865"/>
    <x v="310"/>
    <x v="8"/>
    <x v="0"/>
    <x v="864"/>
    <x v="1"/>
    <x v="20"/>
    <x v="0"/>
    <n v="1"/>
    <n v="142"/>
    <n v="142"/>
    <x v="0"/>
  </r>
  <r>
    <n v="866"/>
    <x v="299"/>
    <x v="5"/>
    <x v="0"/>
    <x v="865"/>
    <x v="1"/>
    <x v="43"/>
    <x v="1"/>
    <n v="1"/>
    <n v="128"/>
    <n v="128"/>
    <x v="2"/>
  </r>
  <r>
    <n v="867"/>
    <x v="325"/>
    <x v="3"/>
    <x v="0"/>
    <x v="866"/>
    <x v="1"/>
    <x v="30"/>
    <x v="0"/>
    <n v="1"/>
    <n v="115"/>
    <n v="115"/>
    <x v="2"/>
  </r>
  <r>
    <n v="868"/>
    <x v="30"/>
    <x v="3"/>
    <x v="0"/>
    <x v="867"/>
    <x v="0"/>
    <x v="6"/>
    <x v="0"/>
    <n v="1"/>
    <n v="72"/>
    <n v="72"/>
    <x v="2"/>
  </r>
  <r>
    <n v="869"/>
    <x v="326"/>
    <x v="3"/>
    <x v="0"/>
    <x v="868"/>
    <x v="0"/>
    <x v="32"/>
    <x v="0"/>
    <n v="1"/>
    <n v="484"/>
    <n v="484"/>
    <x v="2"/>
  </r>
  <r>
    <n v="870"/>
    <x v="197"/>
    <x v="8"/>
    <x v="0"/>
    <x v="869"/>
    <x v="1"/>
    <x v="18"/>
    <x v="2"/>
    <n v="3"/>
    <n v="472"/>
    <n v="1416"/>
    <x v="0"/>
  </r>
  <r>
    <n v="871"/>
    <x v="7"/>
    <x v="6"/>
    <x v="0"/>
    <x v="870"/>
    <x v="1"/>
    <x v="9"/>
    <x v="2"/>
    <n v="4"/>
    <n v="204"/>
    <n v="816"/>
    <x v="0"/>
  </r>
  <r>
    <n v="872"/>
    <x v="327"/>
    <x v="7"/>
    <x v="0"/>
    <x v="871"/>
    <x v="0"/>
    <x v="28"/>
    <x v="1"/>
    <n v="3"/>
    <n v="269"/>
    <n v="807"/>
    <x v="2"/>
  </r>
  <r>
    <n v="873"/>
    <x v="242"/>
    <x v="1"/>
    <x v="0"/>
    <x v="872"/>
    <x v="0"/>
    <x v="39"/>
    <x v="0"/>
    <n v="4"/>
    <n v="156"/>
    <n v="624"/>
    <x v="1"/>
  </r>
  <r>
    <n v="874"/>
    <x v="292"/>
    <x v="1"/>
    <x v="0"/>
    <x v="873"/>
    <x v="0"/>
    <x v="23"/>
    <x v="0"/>
    <n v="1"/>
    <n v="320"/>
    <n v="320"/>
    <x v="1"/>
  </r>
  <r>
    <n v="875"/>
    <x v="325"/>
    <x v="3"/>
    <x v="0"/>
    <x v="874"/>
    <x v="0"/>
    <x v="18"/>
    <x v="1"/>
    <n v="4"/>
    <n v="360"/>
    <n v="1440"/>
    <x v="2"/>
  </r>
  <r>
    <n v="876"/>
    <x v="276"/>
    <x v="1"/>
    <x v="0"/>
    <x v="875"/>
    <x v="1"/>
    <x v="38"/>
    <x v="2"/>
    <n v="1"/>
    <n v="104"/>
    <n v="104"/>
    <x v="1"/>
  </r>
  <r>
    <n v="877"/>
    <x v="243"/>
    <x v="2"/>
    <x v="0"/>
    <x v="876"/>
    <x v="1"/>
    <x v="22"/>
    <x v="0"/>
    <n v="4"/>
    <n v="314"/>
    <n v="1256"/>
    <x v="2"/>
  </r>
  <r>
    <n v="878"/>
    <x v="328"/>
    <x v="5"/>
    <x v="0"/>
    <x v="877"/>
    <x v="1"/>
    <x v="17"/>
    <x v="2"/>
    <n v="2"/>
    <n v="236"/>
    <n v="472"/>
    <x v="2"/>
  </r>
  <r>
    <n v="879"/>
    <x v="8"/>
    <x v="7"/>
    <x v="0"/>
    <x v="878"/>
    <x v="1"/>
    <x v="36"/>
    <x v="2"/>
    <n v="4"/>
    <n v="154"/>
    <n v="616"/>
    <x v="2"/>
  </r>
  <r>
    <n v="880"/>
    <x v="28"/>
    <x v="9"/>
    <x v="0"/>
    <x v="879"/>
    <x v="1"/>
    <x v="23"/>
    <x v="2"/>
    <n v="2"/>
    <n v="462"/>
    <n v="924"/>
    <x v="1"/>
  </r>
  <r>
    <n v="881"/>
    <x v="323"/>
    <x v="8"/>
    <x v="0"/>
    <x v="880"/>
    <x v="0"/>
    <x v="9"/>
    <x v="2"/>
    <n v="2"/>
    <n v="76"/>
    <n v="152"/>
    <x v="0"/>
  </r>
  <r>
    <n v="882"/>
    <x v="89"/>
    <x v="1"/>
    <x v="0"/>
    <x v="881"/>
    <x v="1"/>
    <x v="44"/>
    <x v="0"/>
    <n v="1"/>
    <n v="107"/>
    <n v="107"/>
    <x v="1"/>
  </r>
  <r>
    <n v="1190"/>
    <x v="329"/>
    <x v="4"/>
    <x v="1"/>
    <x v="882"/>
    <x v="1"/>
    <x v="33"/>
    <x v="1"/>
    <n v="4"/>
    <n v="497"/>
    <n v="1988"/>
    <x v="1"/>
  </r>
  <r>
    <n v="884"/>
    <x v="330"/>
    <x v="0"/>
    <x v="0"/>
    <x v="883"/>
    <x v="1"/>
    <x v="16"/>
    <x v="1"/>
    <n v="3"/>
    <n v="138"/>
    <n v="414"/>
    <x v="0"/>
  </r>
  <r>
    <n v="885"/>
    <x v="331"/>
    <x v="5"/>
    <x v="0"/>
    <x v="884"/>
    <x v="0"/>
    <x v="32"/>
    <x v="1"/>
    <n v="4"/>
    <n v="230"/>
    <n v="920"/>
    <x v="2"/>
  </r>
  <r>
    <n v="886"/>
    <x v="264"/>
    <x v="0"/>
    <x v="0"/>
    <x v="885"/>
    <x v="1"/>
    <x v="23"/>
    <x v="0"/>
    <n v="1"/>
    <n v="421"/>
    <n v="421"/>
    <x v="0"/>
  </r>
  <r>
    <n v="887"/>
    <x v="73"/>
    <x v="10"/>
    <x v="0"/>
    <x v="886"/>
    <x v="1"/>
    <x v="24"/>
    <x v="1"/>
    <n v="2"/>
    <n v="460"/>
    <n v="920"/>
    <x v="1"/>
  </r>
  <r>
    <n v="888"/>
    <x v="173"/>
    <x v="8"/>
    <x v="0"/>
    <x v="887"/>
    <x v="1"/>
    <x v="27"/>
    <x v="1"/>
    <n v="2"/>
    <n v="339"/>
    <n v="678"/>
    <x v="0"/>
  </r>
  <r>
    <n v="889"/>
    <x v="76"/>
    <x v="10"/>
    <x v="0"/>
    <x v="888"/>
    <x v="0"/>
    <x v="37"/>
    <x v="1"/>
    <n v="1"/>
    <n v="105"/>
    <n v="105"/>
    <x v="1"/>
  </r>
  <r>
    <n v="890"/>
    <x v="286"/>
    <x v="11"/>
    <x v="0"/>
    <x v="889"/>
    <x v="1"/>
    <x v="13"/>
    <x v="2"/>
    <n v="4"/>
    <n v="232"/>
    <n v="928"/>
    <x v="0"/>
  </r>
  <r>
    <n v="891"/>
    <x v="290"/>
    <x v="7"/>
    <x v="0"/>
    <x v="890"/>
    <x v="0"/>
    <x v="18"/>
    <x v="1"/>
    <n v="1"/>
    <n v="495"/>
    <n v="495"/>
    <x v="2"/>
  </r>
  <r>
    <n v="892"/>
    <x v="169"/>
    <x v="11"/>
    <x v="0"/>
    <x v="891"/>
    <x v="1"/>
    <x v="46"/>
    <x v="0"/>
    <n v="3"/>
    <n v="202"/>
    <n v="606"/>
    <x v="0"/>
  </r>
  <r>
    <n v="893"/>
    <x v="54"/>
    <x v="4"/>
    <x v="0"/>
    <x v="892"/>
    <x v="0"/>
    <x v="32"/>
    <x v="1"/>
    <n v="4"/>
    <n v="231"/>
    <n v="924"/>
    <x v="1"/>
  </r>
  <r>
    <n v="894"/>
    <x v="224"/>
    <x v="7"/>
    <x v="0"/>
    <x v="893"/>
    <x v="0"/>
    <x v="22"/>
    <x v="1"/>
    <n v="4"/>
    <n v="284"/>
    <n v="1136"/>
    <x v="2"/>
  </r>
  <r>
    <n v="895"/>
    <x v="81"/>
    <x v="11"/>
    <x v="0"/>
    <x v="894"/>
    <x v="0"/>
    <x v="26"/>
    <x v="2"/>
    <n v="3"/>
    <n v="84"/>
    <n v="252"/>
    <x v="0"/>
  </r>
  <r>
    <n v="896"/>
    <x v="332"/>
    <x v="3"/>
    <x v="0"/>
    <x v="895"/>
    <x v="1"/>
    <x v="6"/>
    <x v="0"/>
    <n v="3"/>
    <n v="380"/>
    <n v="1140"/>
    <x v="2"/>
  </r>
  <r>
    <n v="897"/>
    <x v="75"/>
    <x v="2"/>
    <x v="0"/>
    <x v="896"/>
    <x v="1"/>
    <x v="42"/>
    <x v="2"/>
    <n v="2"/>
    <n v="412"/>
    <n v="824"/>
    <x v="2"/>
  </r>
  <r>
    <n v="898"/>
    <x v="213"/>
    <x v="9"/>
    <x v="0"/>
    <x v="897"/>
    <x v="1"/>
    <x v="17"/>
    <x v="2"/>
    <n v="1"/>
    <n v="271"/>
    <n v="271"/>
    <x v="1"/>
  </r>
  <r>
    <n v="899"/>
    <x v="309"/>
    <x v="10"/>
    <x v="0"/>
    <x v="898"/>
    <x v="1"/>
    <x v="25"/>
    <x v="2"/>
    <n v="2"/>
    <n v="371"/>
    <n v="742"/>
    <x v="1"/>
  </r>
  <r>
    <n v="900"/>
    <x v="111"/>
    <x v="8"/>
    <x v="0"/>
    <x v="899"/>
    <x v="0"/>
    <x v="31"/>
    <x v="2"/>
    <n v="3"/>
    <n v="289"/>
    <n v="867"/>
    <x v="0"/>
  </r>
  <r>
    <n v="901"/>
    <x v="67"/>
    <x v="7"/>
    <x v="0"/>
    <x v="900"/>
    <x v="0"/>
    <x v="11"/>
    <x v="2"/>
    <n v="2"/>
    <n v="172"/>
    <n v="344"/>
    <x v="2"/>
  </r>
  <r>
    <n v="902"/>
    <x v="333"/>
    <x v="11"/>
    <x v="0"/>
    <x v="901"/>
    <x v="1"/>
    <x v="17"/>
    <x v="0"/>
    <n v="3"/>
    <n v="63"/>
    <n v="189"/>
    <x v="0"/>
  </r>
  <r>
    <n v="903"/>
    <x v="34"/>
    <x v="7"/>
    <x v="0"/>
    <x v="902"/>
    <x v="0"/>
    <x v="40"/>
    <x v="2"/>
    <n v="3"/>
    <n v="136"/>
    <n v="408"/>
    <x v="2"/>
  </r>
  <r>
    <n v="904"/>
    <x v="277"/>
    <x v="7"/>
    <x v="0"/>
    <x v="903"/>
    <x v="1"/>
    <x v="36"/>
    <x v="0"/>
    <n v="2"/>
    <n v="280"/>
    <n v="560"/>
    <x v="2"/>
  </r>
  <r>
    <n v="905"/>
    <x v="64"/>
    <x v="1"/>
    <x v="0"/>
    <x v="904"/>
    <x v="0"/>
    <x v="14"/>
    <x v="2"/>
    <n v="2"/>
    <n v="142"/>
    <n v="284"/>
    <x v="1"/>
  </r>
  <r>
    <n v="906"/>
    <x v="334"/>
    <x v="1"/>
    <x v="0"/>
    <x v="905"/>
    <x v="0"/>
    <x v="35"/>
    <x v="2"/>
    <n v="2"/>
    <n v="423"/>
    <n v="846"/>
    <x v="1"/>
  </r>
  <r>
    <n v="907"/>
    <x v="81"/>
    <x v="11"/>
    <x v="0"/>
    <x v="906"/>
    <x v="0"/>
    <x v="16"/>
    <x v="0"/>
    <n v="4"/>
    <n v="339"/>
    <n v="1356"/>
    <x v="0"/>
  </r>
  <r>
    <n v="908"/>
    <x v="320"/>
    <x v="6"/>
    <x v="0"/>
    <x v="907"/>
    <x v="0"/>
    <x v="40"/>
    <x v="2"/>
    <n v="3"/>
    <n v="277"/>
    <n v="831"/>
    <x v="0"/>
  </r>
  <r>
    <n v="909"/>
    <x v="224"/>
    <x v="7"/>
    <x v="0"/>
    <x v="908"/>
    <x v="1"/>
    <x v="45"/>
    <x v="1"/>
    <n v="3"/>
    <n v="228"/>
    <n v="684"/>
    <x v="2"/>
  </r>
  <r>
    <n v="910"/>
    <x v="305"/>
    <x v="1"/>
    <x v="0"/>
    <x v="909"/>
    <x v="0"/>
    <x v="21"/>
    <x v="0"/>
    <n v="4"/>
    <n v="269"/>
    <n v="1076"/>
    <x v="1"/>
  </r>
  <r>
    <n v="911"/>
    <x v="31"/>
    <x v="7"/>
    <x v="0"/>
    <x v="910"/>
    <x v="0"/>
    <x v="26"/>
    <x v="2"/>
    <n v="4"/>
    <n v="465"/>
    <n v="1860"/>
    <x v="2"/>
  </r>
  <r>
    <n v="912"/>
    <x v="310"/>
    <x v="8"/>
    <x v="0"/>
    <x v="911"/>
    <x v="0"/>
    <x v="20"/>
    <x v="1"/>
    <n v="4"/>
    <n v="186"/>
    <n v="744"/>
    <x v="0"/>
  </r>
  <r>
    <n v="913"/>
    <x v="335"/>
    <x v="8"/>
    <x v="0"/>
    <x v="912"/>
    <x v="0"/>
    <x v="3"/>
    <x v="0"/>
    <n v="2"/>
    <n v="219"/>
    <n v="438"/>
    <x v="0"/>
  </r>
  <r>
    <n v="914"/>
    <x v="68"/>
    <x v="7"/>
    <x v="0"/>
    <x v="913"/>
    <x v="0"/>
    <x v="31"/>
    <x v="2"/>
    <n v="3"/>
    <n v="120"/>
    <n v="360"/>
    <x v="2"/>
  </r>
  <r>
    <n v="915"/>
    <x v="84"/>
    <x v="7"/>
    <x v="0"/>
    <x v="914"/>
    <x v="1"/>
    <x v="14"/>
    <x v="2"/>
    <n v="4"/>
    <n v="338"/>
    <n v="1352"/>
    <x v="2"/>
  </r>
  <r>
    <n v="916"/>
    <x v="52"/>
    <x v="9"/>
    <x v="0"/>
    <x v="915"/>
    <x v="1"/>
    <x v="36"/>
    <x v="2"/>
    <n v="4"/>
    <n v="132"/>
    <n v="528"/>
    <x v="1"/>
  </r>
  <r>
    <n v="917"/>
    <x v="336"/>
    <x v="2"/>
    <x v="0"/>
    <x v="916"/>
    <x v="1"/>
    <x v="37"/>
    <x v="2"/>
    <n v="3"/>
    <n v="255"/>
    <n v="765"/>
    <x v="2"/>
  </r>
  <r>
    <n v="918"/>
    <x v="337"/>
    <x v="1"/>
    <x v="0"/>
    <x v="917"/>
    <x v="0"/>
    <x v="42"/>
    <x v="0"/>
    <n v="2"/>
    <n v="441"/>
    <n v="882"/>
    <x v="1"/>
  </r>
  <r>
    <n v="919"/>
    <x v="141"/>
    <x v="11"/>
    <x v="0"/>
    <x v="918"/>
    <x v="1"/>
    <x v="14"/>
    <x v="0"/>
    <n v="4"/>
    <n v="463"/>
    <n v="1852"/>
    <x v="0"/>
  </r>
  <r>
    <n v="920"/>
    <x v="22"/>
    <x v="5"/>
    <x v="0"/>
    <x v="919"/>
    <x v="0"/>
    <x v="30"/>
    <x v="0"/>
    <n v="2"/>
    <n v="267"/>
    <n v="534"/>
    <x v="2"/>
  </r>
  <r>
    <n v="921"/>
    <x v="56"/>
    <x v="6"/>
    <x v="0"/>
    <x v="920"/>
    <x v="0"/>
    <x v="38"/>
    <x v="2"/>
    <n v="2"/>
    <n v="482"/>
    <n v="964"/>
    <x v="0"/>
  </r>
  <r>
    <n v="922"/>
    <x v="136"/>
    <x v="0"/>
    <x v="0"/>
    <x v="921"/>
    <x v="1"/>
    <x v="45"/>
    <x v="2"/>
    <n v="3"/>
    <n v="312"/>
    <n v="936"/>
    <x v="0"/>
  </r>
  <r>
    <n v="923"/>
    <x v="176"/>
    <x v="7"/>
    <x v="0"/>
    <x v="922"/>
    <x v="0"/>
    <x v="13"/>
    <x v="1"/>
    <n v="2"/>
    <n v="55"/>
    <n v="110"/>
    <x v="2"/>
  </r>
  <r>
    <n v="924"/>
    <x v="112"/>
    <x v="1"/>
    <x v="0"/>
    <x v="923"/>
    <x v="1"/>
    <x v="40"/>
    <x v="0"/>
    <n v="1"/>
    <n v="255"/>
    <n v="255"/>
    <x v="1"/>
  </r>
  <r>
    <n v="925"/>
    <x v="338"/>
    <x v="9"/>
    <x v="0"/>
    <x v="924"/>
    <x v="1"/>
    <x v="37"/>
    <x v="2"/>
    <n v="3"/>
    <n v="201"/>
    <n v="603"/>
    <x v="1"/>
  </r>
  <r>
    <n v="926"/>
    <x v="339"/>
    <x v="6"/>
    <x v="0"/>
    <x v="925"/>
    <x v="1"/>
    <x v="41"/>
    <x v="2"/>
    <n v="2"/>
    <n v="320"/>
    <n v="640"/>
    <x v="0"/>
  </r>
  <r>
    <n v="927"/>
    <x v="224"/>
    <x v="7"/>
    <x v="0"/>
    <x v="926"/>
    <x v="0"/>
    <x v="39"/>
    <x v="2"/>
    <n v="3"/>
    <n v="369"/>
    <n v="1107"/>
    <x v="2"/>
  </r>
  <r>
    <n v="928"/>
    <x v="188"/>
    <x v="3"/>
    <x v="0"/>
    <x v="927"/>
    <x v="1"/>
    <x v="24"/>
    <x v="1"/>
    <n v="4"/>
    <n v="339"/>
    <n v="1356"/>
    <x v="2"/>
  </r>
  <r>
    <n v="929"/>
    <x v="74"/>
    <x v="4"/>
    <x v="0"/>
    <x v="928"/>
    <x v="1"/>
    <x v="7"/>
    <x v="1"/>
    <n v="2"/>
    <n v="352"/>
    <n v="704"/>
    <x v="1"/>
  </r>
  <r>
    <n v="930"/>
    <x v="96"/>
    <x v="9"/>
    <x v="0"/>
    <x v="929"/>
    <x v="1"/>
    <x v="7"/>
    <x v="0"/>
    <n v="4"/>
    <n v="459"/>
    <n v="1836"/>
    <x v="1"/>
  </r>
  <r>
    <n v="931"/>
    <x v="93"/>
    <x v="11"/>
    <x v="0"/>
    <x v="930"/>
    <x v="0"/>
    <x v="10"/>
    <x v="2"/>
    <n v="2"/>
    <n v="185"/>
    <n v="370"/>
    <x v="0"/>
  </r>
  <r>
    <n v="932"/>
    <x v="297"/>
    <x v="9"/>
    <x v="0"/>
    <x v="931"/>
    <x v="1"/>
    <x v="23"/>
    <x v="2"/>
    <n v="4"/>
    <n v="163"/>
    <n v="652"/>
    <x v="1"/>
  </r>
  <r>
    <n v="933"/>
    <x v="340"/>
    <x v="2"/>
    <x v="0"/>
    <x v="932"/>
    <x v="1"/>
    <x v="15"/>
    <x v="0"/>
    <n v="4"/>
    <n v="236"/>
    <n v="944"/>
    <x v="2"/>
  </r>
  <r>
    <n v="934"/>
    <x v="298"/>
    <x v="10"/>
    <x v="0"/>
    <x v="933"/>
    <x v="0"/>
    <x v="0"/>
    <x v="1"/>
    <n v="2"/>
    <n v="363"/>
    <n v="726"/>
    <x v="1"/>
  </r>
  <r>
    <n v="935"/>
    <x v="127"/>
    <x v="4"/>
    <x v="0"/>
    <x v="934"/>
    <x v="0"/>
    <x v="4"/>
    <x v="1"/>
    <n v="4"/>
    <n v="77"/>
    <n v="308"/>
    <x v="1"/>
  </r>
  <r>
    <n v="936"/>
    <x v="262"/>
    <x v="11"/>
    <x v="0"/>
    <x v="935"/>
    <x v="0"/>
    <x v="40"/>
    <x v="0"/>
    <n v="1"/>
    <n v="38"/>
    <n v="38"/>
    <x v="0"/>
  </r>
  <r>
    <n v="937"/>
    <x v="161"/>
    <x v="5"/>
    <x v="0"/>
    <x v="936"/>
    <x v="0"/>
    <x v="1"/>
    <x v="2"/>
    <n v="2"/>
    <n v="68"/>
    <n v="136"/>
    <x v="2"/>
  </r>
  <r>
    <n v="938"/>
    <x v="17"/>
    <x v="8"/>
    <x v="0"/>
    <x v="937"/>
    <x v="1"/>
    <x v="34"/>
    <x v="1"/>
    <n v="2"/>
    <n v="402"/>
    <n v="804"/>
    <x v="0"/>
  </r>
  <r>
    <n v="939"/>
    <x v="49"/>
    <x v="4"/>
    <x v="0"/>
    <x v="938"/>
    <x v="1"/>
    <x v="7"/>
    <x v="1"/>
    <n v="2"/>
    <n v="294"/>
    <n v="588"/>
    <x v="1"/>
  </r>
  <r>
    <n v="940"/>
    <x v="261"/>
    <x v="10"/>
    <x v="0"/>
    <x v="939"/>
    <x v="0"/>
    <x v="8"/>
    <x v="0"/>
    <n v="3"/>
    <n v="465"/>
    <n v="1395"/>
    <x v="1"/>
  </r>
  <r>
    <n v="941"/>
    <x v="15"/>
    <x v="9"/>
    <x v="0"/>
    <x v="940"/>
    <x v="1"/>
    <x v="20"/>
    <x v="0"/>
    <n v="3"/>
    <n v="305"/>
    <n v="915"/>
    <x v="1"/>
  </r>
  <r>
    <n v="942"/>
    <x v="340"/>
    <x v="2"/>
    <x v="0"/>
    <x v="941"/>
    <x v="0"/>
    <x v="11"/>
    <x v="0"/>
    <n v="2"/>
    <n v="327"/>
    <n v="654"/>
    <x v="2"/>
  </r>
  <r>
    <n v="943"/>
    <x v="166"/>
    <x v="0"/>
    <x v="0"/>
    <x v="942"/>
    <x v="1"/>
    <x v="7"/>
    <x v="0"/>
    <n v="4"/>
    <n v="293"/>
    <n v="1172"/>
    <x v="0"/>
  </r>
  <r>
    <n v="944"/>
    <x v="0"/>
    <x v="0"/>
    <x v="0"/>
    <x v="943"/>
    <x v="1"/>
    <x v="5"/>
    <x v="2"/>
    <n v="2"/>
    <n v="437"/>
    <n v="874"/>
    <x v="0"/>
  </r>
  <r>
    <n v="945"/>
    <x v="133"/>
    <x v="11"/>
    <x v="0"/>
    <x v="944"/>
    <x v="1"/>
    <x v="34"/>
    <x v="2"/>
    <n v="4"/>
    <n v="158"/>
    <n v="632"/>
    <x v="0"/>
  </r>
  <r>
    <n v="946"/>
    <x v="285"/>
    <x v="10"/>
    <x v="0"/>
    <x v="945"/>
    <x v="1"/>
    <x v="3"/>
    <x v="1"/>
    <n v="2"/>
    <n v="201"/>
    <n v="402"/>
    <x v="1"/>
  </r>
  <r>
    <n v="947"/>
    <x v="74"/>
    <x v="4"/>
    <x v="0"/>
    <x v="946"/>
    <x v="1"/>
    <x v="6"/>
    <x v="1"/>
    <n v="4"/>
    <n v="411"/>
    <n v="1644"/>
    <x v="1"/>
  </r>
  <r>
    <n v="948"/>
    <x v="43"/>
    <x v="3"/>
    <x v="0"/>
    <x v="947"/>
    <x v="1"/>
    <x v="3"/>
    <x v="2"/>
    <n v="3"/>
    <n v="330"/>
    <n v="990"/>
    <x v="2"/>
  </r>
  <r>
    <n v="949"/>
    <x v="273"/>
    <x v="1"/>
    <x v="0"/>
    <x v="948"/>
    <x v="0"/>
    <x v="2"/>
    <x v="2"/>
    <n v="2"/>
    <n v="235"/>
    <n v="470"/>
    <x v="1"/>
  </r>
  <r>
    <n v="950"/>
    <x v="296"/>
    <x v="7"/>
    <x v="0"/>
    <x v="949"/>
    <x v="1"/>
    <x v="13"/>
    <x v="1"/>
    <n v="2"/>
    <n v="391"/>
    <n v="782"/>
    <x v="2"/>
  </r>
  <r>
    <n v="951"/>
    <x v="219"/>
    <x v="0"/>
    <x v="0"/>
    <x v="950"/>
    <x v="1"/>
    <x v="29"/>
    <x v="1"/>
    <n v="3"/>
    <n v="65"/>
    <n v="195"/>
    <x v="0"/>
  </r>
  <r>
    <n v="952"/>
    <x v="2"/>
    <x v="2"/>
    <x v="0"/>
    <x v="951"/>
    <x v="0"/>
    <x v="18"/>
    <x v="0"/>
    <n v="3"/>
    <n v="170"/>
    <n v="510"/>
    <x v="2"/>
  </r>
  <r>
    <n v="953"/>
    <x v="32"/>
    <x v="0"/>
    <x v="0"/>
    <x v="952"/>
    <x v="1"/>
    <x v="38"/>
    <x v="1"/>
    <n v="1"/>
    <n v="118"/>
    <n v="118"/>
    <x v="0"/>
  </r>
  <r>
    <n v="954"/>
    <x v="341"/>
    <x v="10"/>
    <x v="0"/>
    <x v="953"/>
    <x v="1"/>
    <x v="41"/>
    <x v="0"/>
    <n v="4"/>
    <n v="341"/>
    <n v="1364"/>
    <x v="1"/>
  </r>
  <r>
    <n v="955"/>
    <x v="167"/>
    <x v="2"/>
    <x v="0"/>
    <x v="954"/>
    <x v="1"/>
    <x v="11"/>
    <x v="0"/>
    <n v="4"/>
    <n v="121"/>
    <n v="484"/>
    <x v="2"/>
  </r>
  <r>
    <n v="956"/>
    <x v="131"/>
    <x v="9"/>
    <x v="0"/>
    <x v="955"/>
    <x v="0"/>
    <x v="30"/>
    <x v="1"/>
    <n v="1"/>
    <n v="120"/>
    <n v="120"/>
    <x v="1"/>
  </r>
  <r>
    <n v="957"/>
    <x v="189"/>
    <x v="11"/>
    <x v="0"/>
    <x v="956"/>
    <x v="1"/>
    <x v="12"/>
    <x v="1"/>
    <n v="4"/>
    <n v="397"/>
    <n v="1588"/>
    <x v="0"/>
  </r>
  <r>
    <n v="958"/>
    <x v="56"/>
    <x v="6"/>
    <x v="0"/>
    <x v="957"/>
    <x v="0"/>
    <x v="16"/>
    <x v="1"/>
    <n v="1"/>
    <n v="277"/>
    <n v="277"/>
    <x v="0"/>
  </r>
  <r>
    <n v="959"/>
    <x v="247"/>
    <x v="1"/>
    <x v="0"/>
    <x v="958"/>
    <x v="1"/>
    <x v="38"/>
    <x v="2"/>
    <n v="4"/>
    <n v="215"/>
    <n v="860"/>
    <x v="1"/>
  </r>
  <r>
    <n v="960"/>
    <x v="83"/>
    <x v="2"/>
    <x v="0"/>
    <x v="959"/>
    <x v="0"/>
    <x v="44"/>
    <x v="1"/>
    <n v="2"/>
    <n v="53"/>
    <n v="106"/>
    <x v="2"/>
  </r>
  <r>
    <n v="961"/>
    <x v="342"/>
    <x v="4"/>
    <x v="0"/>
    <x v="960"/>
    <x v="1"/>
    <x v="25"/>
    <x v="0"/>
    <n v="4"/>
    <n v="117"/>
    <n v="468"/>
    <x v="1"/>
  </r>
  <r>
    <n v="962"/>
    <x v="9"/>
    <x v="1"/>
    <x v="0"/>
    <x v="961"/>
    <x v="1"/>
    <x v="29"/>
    <x v="1"/>
    <n v="1"/>
    <n v="418"/>
    <n v="418"/>
    <x v="1"/>
  </r>
  <r>
    <n v="963"/>
    <x v="271"/>
    <x v="4"/>
    <x v="0"/>
    <x v="962"/>
    <x v="1"/>
    <x v="24"/>
    <x v="1"/>
    <n v="1"/>
    <n v="126"/>
    <n v="126"/>
    <x v="1"/>
  </r>
  <r>
    <n v="964"/>
    <x v="104"/>
    <x v="2"/>
    <x v="0"/>
    <x v="963"/>
    <x v="0"/>
    <x v="18"/>
    <x v="0"/>
    <n v="2"/>
    <n v="267"/>
    <n v="534"/>
    <x v="2"/>
  </r>
  <r>
    <n v="965"/>
    <x v="251"/>
    <x v="5"/>
    <x v="0"/>
    <x v="964"/>
    <x v="1"/>
    <x v="31"/>
    <x v="1"/>
    <n v="1"/>
    <n v="406"/>
    <n v="406"/>
    <x v="2"/>
  </r>
  <r>
    <n v="966"/>
    <x v="322"/>
    <x v="7"/>
    <x v="0"/>
    <x v="965"/>
    <x v="0"/>
    <x v="22"/>
    <x v="2"/>
    <n v="3"/>
    <n v="126"/>
    <n v="378"/>
    <x v="2"/>
  </r>
  <r>
    <n v="967"/>
    <x v="281"/>
    <x v="5"/>
    <x v="0"/>
    <x v="966"/>
    <x v="0"/>
    <x v="33"/>
    <x v="1"/>
    <n v="1"/>
    <n v="145"/>
    <n v="145"/>
    <x v="2"/>
  </r>
  <r>
    <n v="968"/>
    <x v="306"/>
    <x v="0"/>
    <x v="0"/>
    <x v="967"/>
    <x v="1"/>
    <x v="31"/>
    <x v="1"/>
    <n v="2"/>
    <n v="431"/>
    <n v="862"/>
    <x v="0"/>
  </r>
  <r>
    <n v="969"/>
    <x v="54"/>
    <x v="4"/>
    <x v="0"/>
    <x v="968"/>
    <x v="0"/>
    <x v="13"/>
    <x v="1"/>
    <n v="1"/>
    <n v="46"/>
    <n v="46"/>
    <x v="1"/>
  </r>
  <r>
    <n v="970"/>
    <x v="68"/>
    <x v="7"/>
    <x v="0"/>
    <x v="969"/>
    <x v="1"/>
    <x v="11"/>
    <x v="0"/>
    <n v="2"/>
    <n v="215"/>
    <n v="430"/>
    <x v="2"/>
  </r>
  <r>
    <n v="971"/>
    <x v="133"/>
    <x v="11"/>
    <x v="0"/>
    <x v="970"/>
    <x v="0"/>
    <x v="10"/>
    <x v="2"/>
    <n v="1"/>
    <n v="376"/>
    <n v="376"/>
    <x v="0"/>
  </r>
  <r>
    <n v="972"/>
    <x v="177"/>
    <x v="0"/>
    <x v="0"/>
    <x v="971"/>
    <x v="1"/>
    <x v="7"/>
    <x v="1"/>
    <n v="1"/>
    <n v="207"/>
    <n v="207"/>
    <x v="0"/>
  </r>
  <r>
    <n v="973"/>
    <x v="219"/>
    <x v="0"/>
    <x v="0"/>
    <x v="972"/>
    <x v="0"/>
    <x v="11"/>
    <x v="0"/>
    <n v="1"/>
    <n v="89"/>
    <n v="89"/>
    <x v="0"/>
  </r>
  <r>
    <n v="974"/>
    <x v="258"/>
    <x v="3"/>
    <x v="0"/>
    <x v="973"/>
    <x v="0"/>
    <x v="31"/>
    <x v="0"/>
    <n v="3"/>
    <n v="437"/>
    <n v="1311"/>
    <x v="2"/>
  </r>
  <r>
    <n v="975"/>
    <x v="200"/>
    <x v="2"/>
    <x v="0"/>
    <x v="974"/>
    <x v="0"/>
    <x v="0"/>
    <x v="0"/>
    <n v="4"/>
    <n v="208"/>
    <n v="832"/>
    <x v="2"/>
  </r>
  <r>
    <n v="976"/>
    <x v="246"/>
    <x v="10"/>
    <x v="0"/>
    <x v="975"/>
    <x v="1"/>
    <x v="8"/>
    <x v="2"/>
    <n v="4"/>
    <n v="311"/>
    <n v="1244"/>
    <x v="1"/>
  </r>
  <r>
    <n v="977"/>
    <x v="215"/>
    <x v="4"/>
    <x v="0"/>
    <x v="976"/>
    <x v="1"/>
    <x v="27"/>
    <x v="0"/>
    <n v="2"/>
    <n v="303"/>
    <n v="606"/>
    <x v="1"/>
  </r>
  <r>
    <n v="978"/>
    <x v="343"/>
    <x v="9"/>
    <x v="0"/>
    <x v="977"/>
    <x v="1"/>
    <x v="46"/>
    <x v="2"/>
    <n v="3"/>
    <n v="469"/>
    <n v="1407"/>
    <x v="1"/>
  </r>
  <r>
    <n v="979"/>
    <x v="250"/>
    <x v="0"/>
    <x v="0"/>
    <x v="978"/>
    <x v="0"/>
    <x v="25"/>
    <x v="0"/>
    <n v="2"/>
    <n v="255"/>
    <n v="510"/>
    <x v="0"/>
  </r>
  <r>
    <n v="980"/>
    <x v="148"/>
    <x v="9"/>
    <x v="0"/>
    <x v="979"/>
    <x v="1"/>
    <x v="6"/>
    <x v="2"/>
    <n v="4"/>
    <n v="25"/>
    <n v="100"/>
    <x v="1"/>
  </r>
  <r>
    <n v="981"/>
    <x v="283"/>
    <x v="0"/>
    <x v="0"/>
    <x v="980"/>
    <x v="1"/>
    <x v="46"/>
    <x v="1"/>
    <n v="1"/>
    <n v="342"/>
    <n v="342"/>
    <x v="0"/>
  </r>
  <r>
    <n v="982"/>
    <x v="151"/>
    <x v="5"/>
    <x v="0"/>
    <x v="981"/>
    <x v="0"/>
    <x v="31"/>
    <x v="0"/>
    <n v="1"/>
    <n v="362"/>
    <n v="362"/>
    <x v="2"/>
  </r>
  <r>
    <n v="983"/>
    <x v="105"/>
    <x v="7"/>
    <x v="0"/>
    <x v="982"/>
    <x v="1"/>
    <x v="27"/>
    <x v="0"/>
    <n v="4"/>
    <n v="417"/>
    <n v="1668"/>
    <x v="2"/>
  </r>
  <r>
    <n v="984"/>
    <x v="8"/>
    <x v="7"/>
    <x v="0"/>
    <x v="983"/>
    <x v="0"/>
    <x v="35"/>
    <x v="2"/>
    <n v="3"/>
    <n v="234"/>
    <n v="702"/>
    <x v="2"/>
  </r>
  <r>
    <n v="985"/>
    <x v="301"/>
    <x v="0"/>
    <x v="0"/>
    <x v="984"/>
    <x v="1"/>
    <x v="41"/>
    <x v="1"/>
    <n v="1"/>
    <n v="47"/>
    <n v="47"/>
    <x v="0"/>
  </r>
  <r>
    <n v="986"/>
    <x v="225"/>
    <x v="10"/>
    <x v="0"/>
    <x v="985"/>
    <x v="0"/>
    <x v="8"/>
    <x v="1"/>
    <n v="1"/>
    <n v="273"/>
    <n v="273"/>
    <x v="1"/>
  </r>
  <r>
    <n v="987"/>
    <x v="9"/>
    <x v="1"/>
    <x v="0"/>
    <x v="986"/>
    <x v="0"/>
    <x v="8"/>
    <x v="0"/>
    <n v="4"/>
    <n v="361"/>
    <n v="1444"/>
    <x v="1"/>
  </r>
  <r>
    <n v="988"/>
    <x v="53"/>
    <x v="3"/>
    <x v="0"/>
    <x v="987"/>
    <x v="1"/>
    <x v="21"/>
    <x v="2"/>
    <n v="2"/>
    <n v="335"/>
    <n v="670"/>
    <x v="2"/>
  </r>
  <r>
    <n v="257"/>
    <x v="161"/>
    <x v="5"/>
    <x v="0"/>
    <x v="988"/>
    <x v="0"/>
    <x v="28"/>
    <x v="1"/>
    <n v="4"/>
    <n v="496"/>
    <n v="1984"/>
    <x v="2"/>
  </r>
  <r>
    <n v="990"/>
    <x v="187"/>
    <x v="11"/>
    <x v="0"/>
    <x v="989"/>
    <x v="1"/>
    <x v="7"/>
    <x v="1"/>
    <n v="3"/>
    <n v="310"/>
    <n v="930"/>
    <x v="0"/>
  </r>
  <r>
    <n v="991"/>
    <x v="79"/>
    <x v="2"/>
    <x v="0"/>
    <x v="990"/>
    <x v="1"/>
    <x v="23"/>
    <x v="1"/>
    <n v="3"/>
    <n v="295"/>
    <n v="885"/>
    <x v="2"/>
  </r>
  <r>
    <n v="992"/>
    <x v="233"/>
    <x v="6"/>
    <x v="0"/>
    <x v="991"/>
    <x v="0"/>
    <x v="34"/>
    <x v="1"/>
    <n v="2"/>
    <n v="290"/>
    <n v="580"/>
    <x v="0"/>
  </r>
  <r>
    <n v="993"/>
    <x v="150"/>
    <x v="11"/>
    <x v="0"/>
    <x v="992"/>
    <x v="0"/>
    <x v="46"/>
    <x v="1"/>
    <n v="4"/>
    <n v="122"/>
    <n v="488"/>
    <x v="0"/>
  </r>
  <r>
    <n v="994"/>
    <x v="9"/>
    <x v="1"/>
    <x v="0"/>
    <x v="993"/>
    <x v="0"/>
    <x v="42"/>
    <x v="0"/>
    <n v="2"/>
    <n v="310"/>
    <n v="620"/>
    <x v="1"/>
  </r>
  <r>
    <n v="995"/>
    <x v="82"/>
    <x v="7"/>
    <x v="0"/>
    <x v="994"/>
    <x v="1"/>
    <x v="1"/>
    <x v="0"/>
    <n v="3"/>
    <n v="370"/>
    <n v="1110"/>
    <x v="2"/>
  </r>
  <r>
    <n v="996"/>
    <x v="48"/>
    <x v="2"/>
    <x v="0"/>
    <x v="995"/>
    <x v="1"/>
    <x v="1"/>
    <x v="1"/>
    <n v="2"/>
    <n v="306"/>
    <n v="612"/>
    <x v="2"/>
  </r>
  <r>
    <n v="997"/>
    <x v="311"/>
    <x v="5"/>
    <x v="0"/>
    <x v="996"/>
    <x v="1"/>
    <x v="33"/>
    <x v="1"/>
    <n v="4"/>
    <n v="205"/>
    <n v="820"/>
    <x v="2"/>
  </r>
  <r>
    <n v="998"/>
    <x v="263"/>
    <x v="9"/>
    <x v="0"/>
    <x v="997"/>
    <x v="1"/>
    <x v="37"/>
    <x v="2"/>
    <n v="4"/>
    <n v="447"/>
    <n v="1788"/>
    <x v="1"/>
  </r>
  <r>
    <n v="999"/>
    <x v="27"/>
    <x v="9"/>
    <x v="0"/>
    <x v="998"/>
    <x v="0"/>
    <x v="42"/>
    <x v="0"/>
    <n v="2"/>
    <n v="217"/>
    <n v="434"/>
    <x v="1"/>
  </r>
  <r>
    <n v="1000"/>
    <x v="322"/>
    <x v="7"/>
    <x v="0"/>
    <x v="999"/>
    <x v="1"/>
    <x v="37"/>
    <x v="2"/>
    <n v="4"/>
    <n v="228"/>
    <n v="912"/>
    <x v="2"/>
  </r>
  <r>
    <n v="1001"/>
    <x v="344"/>
    <x v="6"/>
    <x v="1"/>
    <x v="1000"/>
    <x v="0"/>
    <x v="39"/>
    <x v="0"/>
    <n v="1"/>
    <n v="290"/>
    <n v="290"/>
    <x v="0"/>
  </r>
  <r>
    <n v="1002"/>
    <x v="345"/>
    <x v="10"/>
    <x v="1"/>
    <x v="1001"/>
    <x v="1"/>
    <x v="3"/>
    <x v="2"/>
    <n v="2"/>
    <n v="134"/>
    <n v="268"/>
    <x v="1"/>
  </r>
  <r>
    <n v="1003"/>
    <x v="346"/>
    <x v="9"/>
    <x v="1"/>
    <x v="1002"/>
    <x v="0"/>
    <x v="11"/>
    <x v="2"/>
    <n v="2"/>
    <n v="73"/>
    <n v="146"/>
    <x v="1"/>
  </r>
  <r>
    <n v="1004"/>
    <x v="347"/>
    <x v="6"/>
    <x v="1"/>
    <x v="1003"/>
    <x v="1"/>
    <x v="5"/>
    <x v="1"/>
    <n v="2"/>
    <n v="160"/>
    <n v="320"/>
    <x v="0"/>
  </r>
  <r>
    <n v="1005"/>
    <x v="348"/>
    <x v="5"/>
    <x v="1"/>
    <x v="1004"/>
    <x v="0"/>
    <x v="9"/>
    <x v="2"/>
    <n v="3"/>
    <n v="72"/>
    <n v="216"/>
    <x v="2"/>
  </r>
  <r>
    <n v="1006"/>
    <x v="349"/>
    <x v="7"/>
    <x v="1"/>
    <x v="1005"/>
    <x v="1"/>
    <x v="42"/>
    <x v="1"/>
    <n v="1"/>
    <n v="395"/>
    <n v="395"/>
    <x v="2"/>
  </r>
  <r>
    <n v="1007"/>
    <x v="350"/>
    <x v="9"/>
    <x v="1"/>
    <x v="1006"/>
    <x v="1"/>
    <x v="36"/>
    <x v="2"/>
    <n v="1"/>
    <n v="329"/>
    <n v="329"/>
    <x v="1"/>
  </r>
  <r>
    <n v="1008"/>
    <x v="351"/>
    <x v="0"/>
    <x v="1"/>
    <x v="1007"/>
    <x v="1"/>
    <x v="8"/>
    <x v="0"/>
    <n v="4"/>
    <n v="65"/>
    <n v="260"/>
    <x v="0"/>
  </r>
  <r>
    <n v="1009"/>
    <x v="352"/>
    <x v="6"/>
    <x v="1"/>
    <x v="1008"/>
    <x v="1"/>
    <x v="5"/>
    <x v="2"/>
    <n v="4"/>
    <n v="469"/>
    <n v="1876"/>
    <x v="0"/>
  </r>
  <r>
    <n v="1010"/>
    <x v="353"/>
    <x v="10"/>
    <x v="1"/>
    <x v="1009"/>
    <x v="0"/>
    <x v="19"/>
    <x v="0"/>
    <n v="1"/>
    <n v="349"/>
    <n v="349"/>
    <x v="1"/>
  </r>
  <r>
    <n v="1011"/>
    <x v="354"/>
    <x v="0"/>
    <x v="1"/>
    <x v="1010"/>
    <x v="1"/>
    <x v="21"/>
    <x v="2"/>
    <n v="1"/>
    <n v="188"/>
    <n v="188"/>
    <x v="0"/>
  </r>
  <r>
    <n v="1012"/>
    <x v="355"/>
    <x v="7"/>
    <x v="1"/>
    <x v="1011"/>
    <x v="0"/>
    <x v="31"/>
    <x v="0"/>
    <n v="2"/>
    <n v="103"/>
    <n v="206"/>
    <x v="2"/>
  </r>
  <r>
    <n v="1013"/>
    <x v="356"/>
    <x v="6"/>
    <x v="1"/>
    <x v="1012"/>
    <x v="1"/>
    <x v="24"/>
    <x v="0"/>
    <n v="1"/>
    <n v="138"/>
    <n v="138"/>
    <x v="0"/>
  </r>
  <r>
    <n v="1014"/>
    <x v="357"/>
    <x v="2"/>
    <x v="1"/>
    <x v="1013"/>
    <x v="1"/>
    <x v="13"/>
    <x v="1"/>
    <n v="2"/>
    <n v="197"/>
    <n v="394"/>
    <x v="2"/>
  </r>
  <r>
    <n v="1015"/>
    <x v="358"/>
    <x v="11"/>
    <x v="1"/>
    <x v="1014"/>
    <x v="1"/>
    <x v="42"/>
    <x v="0"/>
    <n v="1"/>
    <n v="305"/>
    <n v="305"/>
    <x v="0"/>
  </r>
  <r>
    <n v="1016"/>
    <x v="359"/>
    <x v="5"/>
    <x v="1"/>
    <x v="1015"/>
    <x v="1"/>
    <x v="16"/>
    <x v="2"/>
    <n v="4"/>
    <n v="421"/>
    <n v="1684"/>
    <x v="2"/>
  </r>
  <r>
    <n v="1017"/>
    <x v="360"/>
    <x v="8"/>
    <x v="1"/>
    <x v="1016"/>
    <x v="0"/>
    <x v="43"/>
    <x v="2"/>
    <n v="2"/>
    <n v="274"/>
    <n v="548"/>
    <x v="0"/>
  </r>
  <r>
    <n v="1018"/>
    <x v="361"/>
    <x v="5"/>
    <x v="1"/>
    <x v="1017"/>
    <x v="0"/>
    <x v="2"/>
    <x v="0"/>
    <n v="2"/>
    <n v="149"/>
    <n v="298"/>
    <x v="2"/>
  </r>
  <r>
    <n v="1019"/>
    <x v="362"/>
    <x v="11"/>
    <x v="1"/>
    <x v="1018"/>
    <x v="1"/>
    <x v="28"/>
    <x v="2"/>
    <n v="1"/>
    <n v="82"/>
    <n v="82"/>
    <x v="0"/>
  </r>
  <r>
    <n v="1020"/>
    <x v="363"/>
    <x v="8"/>
    <x v="1"/>
    <x v="1019"/>
    <x v="1"/>
    <x v="28"/>
    <x v="2"/>
    <n v="3"/>
    <n v="122"/>
    <n v="366"/>
    <x v="0"/>
  </r>
  <r>
    <n v="1021"/>
    <x v="364"/>
    <x v="9"/>
    <x v="1"/>
    <x v="1020"/>
    <x v="1"/>
    <x v="32"/>
    <x v="0"/>
    <n v="1"/>
    <n v="419"/>
    <n v="419"/>
    <x v="1"/>
  </r>
  <r>
    <n v="1022"/>
    <x v="365"/>
    <x v="9"/>
    <x v="1"/>
    <x v="1021"/>
    <x v="0"/>
    <x v="5"/>
    <x v="0"/>
    <n v="4"/>
    <n v="344"/>
    <n v="1376"/>
    <x v="1"/>
  </r>
  <r>
    <n v="1023"/>
    <x v="366"/>
    <x v="10"/>
    <x v="1"/>
    <x v="1022"/>
    <x v="1"/>
    <x v="8"/>
    <x v="1"/>
    <n v="2"/>
    <n v="375"/>
    <n v="750"/>
    <x v="1"/>
  </r>
  <r>
    <n v="1024"/>
    <x v="367"/>
    <x v="5"/>
    <x v="1"/>
    <x v="1023"/>
    <x v="0"/>
    <x v="46"/>
    <x v="1"/>
    <n v="1"/>
    <n v="403"/>
    <n v="403"/>
    <x v="2"/>
  </r>
  <r>
    <n v="1025"/>
    <x v="368"/>
    <x v="6"/>
    <x v="1"/>
    <x v="1024"/>
    <x v="0"/>
    <x v="35"/>
    <x v="1"/>
    <n v="3"/>
    <n v="32"/>
    <n v="96"/>
    <x v="0"/>
  </r>
  <r>
    <n v="1026"/>
    <x v="369"/>
    <x v="9"/>
    <x v="1"/>
    <x v="1025"/>
    <x v="0"/>
    <x v="34"/>
    <x v="2"/>
    <n v="4"/>
    <n v="36"/>
    <n v="144"/>
    <x v="1"/>
  </r>
  <r>
    <n v="1027"/>
    <x v="370"/>
    <x v="9"/>
    <x v="1"/>
    <x v="1026"/>
    <x v="0"/>
    <x v="6"/>
    <x v="1"/>
    <n v="2"/>
    <n v="304"/>
    <n v="608"/>
    <x v="1"/>
  </r>
  <r>
    <n v="1028"/>
    <x v="371"/>
    <x v="3"/>
    <x v="1"/>
    <x v="1027"/>
    <x v="1"/>
    <x v="2"/>
    <x v="2"/>
    <n v="2"/>
    <n v="380"/>
    <n v="760"/>
    <x v="2"/>
  </r>
  <r>
    <n v="1029"/>
    <x v="360"/>
    <x v="8"/>
    <x v="1"/>
    <x v="1028"/>
    <x v="0"/>
    <x v="29"/>
    <x v="0"/>
    <n v="1"/>
    <n v="155"/>
    <n v="155"/>
    <x v="0"/>
  </r>
  <r>
    <n v="1030"/>
    <x v="372"/>
    <x v="10"/>
    <x v="1"/>
    <x v="1029"/>
    <x v="0"/>
    <x v="39"/>
    <x v="1"/>
    <n v="3"/>
    <n v="52"/>
    <n v="156"/>
    <x v="1"/>
  </r>
  <r>
    <n v="1031"/>
    <x v="373"/>
    <x v="2"/>
    <x v="1"/>
    <x v="1030"/>
    <x v="0"/>
    <x v="25"/>
    <x v="2"/>
    <n v="3"/>
    <n v="364"/>
    <n v="1092"/>
    <x v="2"/>
  </r>
  <r>
    <n v="1032"/>
    <x v="374"/>
    <x v="8"/>
    <x v="1"/>
    <x v="1031"/>
    <x v="1"/>
    <x v="1"/>
    <x v="1"/>
    <n v="3"/>
    <n v="469"/>
    <n v="1407"/>
    <x v="0"/>
  </r>
  <r>
    <n v="1033"/>
    <x v="375"/>
    <x v="0"/>
    <x v="1"/>
    <x v="1032"/>
    <x v="1"/>
    <x v="9"/>
    <x v="2"/>
    <n v="1"/>
    <n v="487"/>
    <n v="487"/>
    <x v="0"/>
  </r>
  <r>
    <n v="1034"/>
    <x v="346"/>
    <x v="9"/>
    <x v="1"/>
    <x v="1033"/>
    <x v="1"/>
    <x v="32"/>
    <x v="0"/>
    <n v="1"/>
    <n v="120"/>
    <n v="120"/>
    <x v="1"/>
  </r>
  <r>
    <n v="1035"/>
    <x v="376"/>
    <x v="1"/>
    <x v="1"/>
    <x v="1034"/>
    <x v="1"/>
    <x v="2"/>
    <x v="0"/>
    <n v="1"/>
    <n v="45"/>
    <n v="45"/>
    <x v="1"/>
  </r>
  <r>
    <n v="1036"/>
    <x v="377"/>
    <x v="4"/>
    <x v="1"/>
    <x v="1035"/>
    <x v="1"/>
    <x v="44"/>
    <x v="2"/>
    <n v="4"/>
    <n v="406"/>
    <n v="1624"/>
    <x v="1"/>
  </r>
  <r>
    <n v="1037"/>
    <x v="378"/>
    <x v="10"/>
    <x v="1"/>
    <x v="1036"/>
    <x v="0"/>
    <x v="5"/>
    <x v="0"/>
    <n v="3"/>
    <n v="206"/>
    <n v="618"/>
    <x v="1"/>
  </r>
  <r>
    <n v="1038"/>
    <x v="379"/>
    <x v="0"/>
    <x v="1"/>
    <x v="1037"/>
    <x v="1"/>
    <x v="14"/>
    <x v="0"/>
    <n v="3"/>
    <n v="440"/>
    <n v="1320"/>
    <x v="0"/>
  </r>
  <r>
    <n v="1039"/>
    <x v="380"/>
    <x v="11"/>
    <x v="1"/>
    <x v="1038"/>
    <x v="1"/>
    <x v="29"/>
    <x v="1"/>
    <n v="3"/>
    <n v="140"/>
    <n v="420"/>
    <x v="0"/>
  </r>
  <r>
    <n v="1040"/>
    <x v="381"/>
    <x v="10"/>
    <x v="1"/>
    <x v="1039"/>
    <x v="1"/>
    <x v="13"/>
    <x v="0"/>
    <n v="2"/>
    <n v="69"/>
    <n v="138"/>
    <x v="1"/>
  </r>
  <r>
    <n v="1041"/>
    <x v="382"/>
    <x v="5"/>
    <x v="1"/>
    <x v="1040"/>
    <x v="0"/>
    <x v="38"/>
    <x v="1"/>
    <n v="2"/>
    <n v="243"/>
    <n v="486"/>
    <x v="2"/>
  </r>
  <r>
    <n v="1042"/>
    <x v="383"/>
    <x v="9"/>
    <x v="1"/>
    <x v="1041"/>
    <x v="1"/>
    <x v="24"/>
    <x v="0"/>
    <n v="2"/>
    <n v="130"/>
    <n v="260"/>
    <x v="1"/>
  </r>
  <r>
    <n v="1043"/>
    <x v="384"/>
    <x v="0"/>
    <x v="1"/>
    <x v="1042"/>
    <x v="0"/>
    <x v="15"/>
    <x v="0"/>
    <n v="2"/>
    <n v="466"/>
    <n v="932"/>
    <x v="0"/>
  </r>
  <r>
    <n v="1044"/>
    <x v="385"/>
    <x v="10"/>
    <x v="1"/>
    <x v="1043"/>
    <x v="1"/>
    <x v="11"/>
    <x v="0"/>
    <n v="2"/>
    <n v="245"/>
    <n v="490"/>
    <x v="1"/>
  </r>
  <r>
    <n v="1045"/>
    <x v="366"/>
    <x v="10"/>
    <x v="1"/>
    <x v="1044"/>
    <x v="0"/>
    <x v="31"/>
    <x v="1"/>
    <n v="1"/>
    <n v="119"/>
    <n v="119"/>
    <x v="1"/>
  </r>
  <r>
    <n v="1046"/>
    <x v="386"/>
    <x v="9"/>
    <x v="1"/>
    <x v="1045"/>
    <x v="0"/>
    <x v="46"/>
    <x v="1"/>
    <n v="3"/>
    <n v="475"/>
    <n v="1425"/>
    <x v="1"/>
  </r>
  <r>
    <n v="1047"/>
    <x v="387"/>
    <x v="5"/>
    <x v="1"/>
    <x v="1046"/>
    <x v="1"/>
    <x v="34"/>
    <x v="2"/>
    <n v="3"/>
    <n v="102"/>
    <n v="306"/>
    <x v="2"/>
  </r>
  <r>
    <n v="1048"/>
    <x v="388"/>
    <x v="1"/>
    <x v="1"/>
    <x v="1047"/>
    <x v="0"/>
    <x v="43"/>
    <x v="1"/>
    <n v="1"/>
    <n v="415"/>
    <n v="415"/>
    <x v="1"/>
  </r>
  <r>
    <n v="1049"/>
    <x v="389"/>
    <x v="0"/>
    <x v="1"/>
    <x v="1048"/>
    <x v="1"/>
    <x v="32"/>
    <x v="0"/>
    <n v="2"/>
    <n v="330"/>
    <n v="660"/>
    <x v="0"/>
  </r>
  <r>
    <n v="1050"/>
    <x v="390"/>
    <x v="1"/>
    <x v="1"/>
    <x v="1049"/>
    <x v="0"/>
    <x v="17"/>
    <x v="1"/>
    <n v="3"/>
    <n v="65"/>
    <n v="195"/>
    <x v="1"/>
  </r>
  <r>
    <n v="1051"/>
    <x v="272"/>
    <x v="8"/>
    <x v="1"/>
    <x v="1050"/>
    <x v="1"/>
    <x v="43"/>
    <x v="0"/>
    <n v="4"/>
    <n v="389"/>
    <n v="1556"/>
    <x v="0"/>
  </r>
  <r>
    <n v="1052"/>
    <x v="375"/>
    <x v="0"/>
    <x v="1"/>
    <x v="1051"/>
    <x v="1"/>
    <x v="36"/>
    <x v="2"/>
    <n v="4"/>
    <n v="267"/>
    <n v="1068"/>
    <x v="0"/>
  </r>
  <r>
    <n v="1053"/>
    <x v="385"/>
    <x v="10"/>
    <x v="1"/>
    <x v="1052"/>
    <x v="0"/>
    <x v="27"/>
    <x v="1"/>
    <n v="1"/>
    <n v="234"/>
    <n v="234"/>
    <x v="1"/>
  </r>
  <r>
    <n v="1054"/>
    <x v="391"/>
    <x v="6"/>
    <x v="1"/>
    <x v="1053"/>
    <x v="1"/>
    <x v="38"/>
    <x v="1"/>
    <n v="2"/>
    <n v="412"/>
    <n v="824"/>
    <x v="0"/>
  </r>
  <r>
    <n v="1055"/>
    <x v="392"/>
    <x v="1"/>
    <x v="1"/>
    <x v="1054"/>
    <x v="0"/>
    <x v="36"/>
    <x v="2"/>
    <n v="4"/>
    <n v="377"/>
    <n v="1508"/>
    <x v="1"/>
  </r>
  <r>
    <n v="1056"/>
    <x v="350"/>
    <x v="9"/>
    <x v="1"/>
    <x v="1055"/>
    <x v="1"/>
    <x v="14"/>
    <x v="2"/>
    <n v="4"/>
    <n v="422"/>
    <n v="1688"/>
    <x v="1"/>
  </r>
  <r>
    <n v="1057"/>
    <x v="393"/>
    <x v="6"/>
    <x v="1"/>
    <x v="1056"/>
    <x v="1"/>
    <x v="46"/>
    <x v="2"/>
    <n v="4"/>
    <n v="338"/>
    <n v="1352"/>
    <x v="0"/>
  </r>
  <r>
    <n v="1058"/>
    <x v="349"/>
    <x v="7"/>
    <x v="1"/>
    <x v="1057"/>
    <x v="0"/>
    <x v="18"/>
    <x v="1"/>
    <n v="4"/>
    <n v="258"/>
    <n v="1032"/>
    <x v="2"/>
  </r>
  <r>
    <n v="1059"/>
    <x v="393"/>
    <x v="6"/>
    <x v="1"/>
    <x v="1058"/>
    <x v="0"/>
    <x v="18"/>
    <x v="0"/>
    <n v="4"/>
    <n v="401"/>
    <n v="1604"/>
    <x v="0"/>
  </r>
  <r>
    <n v="1060"/>
    <x v="394"/>
    <x v="6"/>
    <x v="1"/>
    <x v="1059"/>
    <x v="1"/>
    <x v="18"/>
    <x v="0"/>
    <n v="1"/>
    <n v="122"/>
    <n v="122"/>
    <x v="0"/>
  </r>
  <r>
    <n v="1061"/>
    <x v="395"/>
    <x v="4"/>
    <x v="1"/>
    <x v="1060"/>
    <x v="1"/>
    <x v="13"/>
    <x v="2"/>
    <n v="3"/>
    <n v="261"/>
    <n v="783"/>
    <x v="1"/>
  </r>
  <r>
    <n v="1062"/>
    <x v="396"/>
    <x v="10"/>
    <x v="1"/>
    <x v="1061"/>
    <x v="1"/>
    <x v="39"/>
    <x v="0"/>
    <n v="1"/>
    <n v="378"/>
    <n v="378"/>
    <x v="1"/>
  </r>
  <r>
    <n v="1063"/>
    <x v="397"/>
    <x v="3"/>
    <x v="1"/>
    <x v="1062"/>
    <x v="0"/>
    <x v="20"/>
    <x v="0"/>
    <n v="4"/>
    <n v="71"/>
    <n v="284"/>
    <x v="2"/>
  </r>
  <r>
    <n v="1064"/>
    <x v="398"/>
    <x v="3"/>
    <x v="1"/>
    <x v="1063"/>
    <x v="0"/>
    <x v="36"/>
    <x v="0"/>
    <n v="2"/>
    <n v="226"/>
    <n v="452"/>
    <x v="2"/>
  </r>
  <r>
    <n v="1065"/>
    <x v="387"/>
    <x v="5"/>
    <x v="1"/>
    <x v="1064"/>
    <x v="1"/>
    <x v="24"/>
    <x v="1"/>
    <n v="2"/>
    <n v="257"/>
    <n v="514"/>
    <x v="2"/>
  </r>
  <r>
    <n v="1066"/>
    <x v="399"/>
    <x v="7"/>
    <x v="1"/>
    <x v="1065"/>
    <x v="0"/>
    <x v="20"/>
    <x v="1"/>
    <n v="3"/>
    <n v="190"/>
    <n v="570"/>
    <x v="2"/>
  </r>
  <r>
    <n v="1067"/>
    <x v="400"/>
    <x v="8"/>
    <x v="1"/>
    <x v="1066"/>
    <x v="0"/>
    <x v="23"/>
    <x v="0"/>
    <n v="1"/>
    <n v="71"/>
    <n v="71"/>
    <x v="0"/>
  </r>
  <r>
    <n v="1068"/>
    <x v="401"/>
    <x v="11"/>
    <x v="1"/>
    <x v="1067"/>
    <x v="1"/>
    <x v="7"/>
    <x v="2"/>
    <n v="1"/>
    <n v="293"/>
    <n v="293"/>
    <x v="0"/>
  </r>
  <r>
    <n v="1069"/>
    <x v="402"/>
    <x v="8"/>
    <x v="1"/>
    <x v="1068"/>
    <x v="1"/>
    <x v="46"/>
    <x v="0"/>
    <n v="2"/>
    <n v="218"/>
    <n v="436"/>
    <x v="0"/>
  </r>
  <r>
    <n v="1070"/>
    <x v="403"/>
    <x v="7"/>
    <x v="1"/>
    <x v="1069"/>
    <x v="1"/>
    <x v="8"/>
    <x v="1"/>
    <n v="3"/>
    <n v="314"/>
    <n v="942"/>
    <x v="2"/>
  </r>
  <r>
    <n v="1071"/>
    <x v="374"/>
    <x v="8"/>
    <x v="1"/>
    <x v="1070"/>
    <x v="0"/>
    <x v="10"/>
    <x v="1"/>
    <n v="2"/>
    <n v="418"/>
    <n v="836"/>
    <x v="0"/>
  </r>
  <r>
    <n v="1072"/>
    <x v="404"/>
    <x v="8"/>
    <x v="1"/>
    <x v="1071"/>
    <x v="0"/>
    <x v="38"/>
    <x v="2"/>
    <n v="3"/>
    <n v="398"/>
    <n v="1194"/>
    <x v="0"/>
  </r>
  <r>
    <n v="1073"/>
    <x v="405"/>
    <x v="2"/>
    <x v="1"/>
    <x v="1072"/>
    <x v="1"/>
    <x v="7"/>
    <x v="1"/>
    <n v="1"/>
    <n v="485"/>
    <n v="485"/>
    <x v="2"/>
  </r>
  <r>
    <n v="1074"/>
    <x v="406"/>
    <x v="10"/>
    <x v="1"/>
    <x v="1073"/>
    <x v="0"/>
    <x v="3"/>
    <x v="0"/>
    <n v="3"/>
    <n v="31"/>
    <n v="93"/>
    <x v="1"/>
  </r>
  <r>
    <n v="1075"/>
    <x v="407"/>
    <x v="2"/>
    <x v="1"/>
    <x v="1074"/>
    <x v="1"/>
    <x v="45"/>
    <x v="0"/>
    <n v="1"/>
    <n v="336"/>
    <n v="336"/>
    <x v="2"/>
  </r>
  <r>
    <n v="1076"/>
    <x v="408"/>
    <x v="3"/>
    <x v="1"/>
    <x v="1075"/>
    <x v="0"/>
    <x v="4"/>
    <x v="0"/>
    <n v="4"/>
    <n v="257"/>
    <n v="1028"/>
    <x v="2"/>
  </r>
  <r>
    <n v="1077"/>
    <x v="409"/>
    <x v="5"/>
    <x v="1"/>
    <x v="1076"/>
    <x v="1"/>
    <x v="16"/>
    <x v="0"/>
    <n v="1"/>
    <n v="150"/>
    <n v="150"/>
    <x v="2"/>
  </r>
  <r>
    <n v="1078"/>
    <x v="410"/>
    <x v="7"/>
    <x v="1"/>
    <x v="1077"/>
    <x v="1"/>
    <x v="35"/>
    <x v="0"/>
    <n v="2"/>
    <n v="50"/>
    <n v="100"/>
    <x v="2"/>
  </r>
  <r>
    <n v="1079"/>
    <x v="411"/>
    <x v="1"/>
    <x v="1"/>
    <x v="1078"/>
    <x v="0"/>
    <x v="21"/>
    <x v="0"/>
    <n v="3"/>
    <n v="43"/>
    <n v="129"/>
    <x v="1"/>
  </r>
  <r>
    <n v="1080"/>
    <x v="366"/>
    <x v="10"/>
    <x v="1"/>
    <x v="1079"/>
    <x v="0"/>
    <x v="33"/>
    <x v="0"/>
    <n v="3"/>
    <n v="194"/>
    <n v="582"/>
    <x v="1"/>
  </r>
  <r>
    <n v="1081"/>
    <x v="412"/>
    <x v="11"/>
    <x v="1"/>
    <x v="1080"/>
    <x v="0"/>
    <x v="1"/>
    <x v="2"/>
    <n v="2"/>
    <n v="107"/>
    <n v="214"/>
    <x v="0"/>
  </r>
  <r>
    <n v="1082"/>
    <x v="413"/>
    <x v="8"/>
    <x v="1"/>
    <x v="1081"/>
    <x v="1"/>
    <x v="35"/>
    <x v="0"/>
    <n v="2"/>
    <n v="258"/>
    <n v="516"/>
    <x v="0"/>
  </r>
  <r>
    <n v="1083"/>
    <x v="414"/>
    <x v="7"/>
    <x v="1"/>
    <x v="1082"/>
    <x v="1"/>
    <x v="8"/>
    <x v="1"/>
    <n v="3"/>
    <n v="190"/>
    <n v="570"/>
    <x v="2"/>
  </r>
  <r>
    <n v="1084"/>
    <x v="415"/>
    <x v="5"/>
    <x v="1"/>
    <x v="1083"/>
    <x v="1"/>
    <x v="25"/>
    <x v="2"/>
    <n v="1"/>
    <n v="174"/>
    <n v="174"/>
    <x v="2"/>
  </r>
  <r>
    <n v="1085"/>
    <x v="416"/>
    <x v="2"/>
    <x v="1"/>
    <x v="1084"/>
    <x v="0"/>
    <x v="41"/>
    <x v="0"/>
    <n v="3"/>
    <n v="193"/>
    <n v="579"/>
    <x v="2"/>
  </r>
  <r>
    <n v="1086"/>
    <x v="417"/>
    <x v="3"/>
    <x v="1"/>
    <x v="1085"/>
    <x v="1"/>
    <x v="18"/>
    <x v="1"/>
    <n v="2"/>
    <n v="338"/>
    <n v="676"/>
    <x v="2"/>
  </r>
  <r>
    <n v="1087"/>
    <x v="418"/>
    <x v="6"/>
    <x v="1"/>
    <x v="1086"/>
    <x v="0"/>
    <x v="42"/>
    <x v="0"/>
    <n v="1"/>
    <n v="272"/>
    <n v="272"/>
    <x v="0"/>
  </r>
  <r>
    <n v="1088"/>
    <x v="272"/>
    <x v="8"/>
    <x v="1"/>
    <x v="1087"/>
    <x v="1"/>
    <x v="28"/>
    <x v="0"/>
    <n v="3"/>
    <n v="157"/>
    <n v="471"/>
    <x v="0"/>
  </r>
  <r>
    <n v="1089"/>
    <x v="417"/>
    <x v="3"/>
    <x v="1"/>
    <x v="1088"/>
    <x v="1"/>
    <x v="43"/>
    <x v="0"/>
    <n v="4"/>
    <n v="291"/>
    <n v="1164"/>
    <x v="2"/>
  </r>
  <r>
    <n v="1090"/>
    <x v="354"/>
    <x v="0"/>
    <x v="1"/>
    <x v="1089"/>
    <x v="1"/>
    <x v="45"/>
    <x v="1"/>
    <n v="2"/>
    <n v="387"/>
    <n v="774"/>
    <x v="0"/>
  </r>
  <r>
    <n v="1091"/>
    <x v="419"/>
    <x v="4"/>
    <x v="1"/>
    <x v="1090"/>
    <x v="0"/>
    <x v="3"/>
    <x v="1"/>
    <n v="1"/>
    <n v="263"/>
    <n v="263"/>
    <x v="1"/>
  </r>
  <r>
    <n v="1092"/>
    <x v="379"/>
    <x v="0"/>
    <x v="1"/>
    <x v="1091"/>
    <x v="0"/>
    <x v="4"/>
    <x v="0"/>
    <n v="4"/>
    <n v="236"/>
    <n v="944"/>
    <x v="0"/>
  </r>
  <r>
    <n v="1093"/>
    <x v="420"/>
    <x v="6"/>
    <x v="1"/>
    <x v="1092"/>
    <x v="1"/>
    <x v="5"/>
    <x v="0"/>
    <n v="2"/>
    <n v="30"/>
    <n v="60"/>
    <x v="0"/>
  </r>
  <r>
    <n v="1094"/>
    <x v="421"/>
    <x v="0"/>
    <x v="1"/>
    <x v="1093"/>
    <x v="0"/>
    <x v="11"/>
    <x v="2"/>
    <n v="3"/>
    <n v="429"/>
    <n v="1287"/>
    <x v="0"/>
  </r>
  <r>
    <n v="1095"/>
    <x v="422"/>
    <x v="11"/>
    <x v="1"/>
    <x v="1094"/>
    <x v="1"/>
    <x v="34"/>
    <x v="0"/>
    <n v="3"/>
    <n v="417"/>
    <n v="1251"/>
    <x v="0"/>
  </r>
  <r>
    <n v="1096"/>
    <x v="423"/>
    <x v="6"/>
    <x v="1"/>
    <x v="1095"/>
    <x v="0"/>
    <x v="17"/>
    <x v="2"/>
    <n v="3"/>
    <n v="227"/>
    <n v="681"/>
    <x v="0"/>
  </r>
  <r>
    <n v="1097"/>
    <x v="424"/>
    <x v="7"/>
    <x v="1"/>
    <x v="1096"/>
    <x v="0"/>
    <x v="36"/>
    <x v="1"/>
    <n v="3"/>
    <n v="451"/>
    <n v="1353"/>
    <x v="2"/>
  </r>
  <r>
    <n v="1098"/>
    <x v="425"/>
    <x v="9"/>
    <x v="1"/>
    <x v="1097"/>
    <x v="1"/>
    <x v="40"/>
    <x v="1"/>
    <n v="2"/>
    <n v="271"/>
    <n v="542"/>
    <x v="1"/>
  </r>
  <r>
    <n v="1099"/>
    <x v="426"/>
    <x v="10"/>
    <x v="1"/>
    <x v="1098"/>
    <x v="1"/>
    <x v="6"/>
    <x v="2"/>
    <n v="4"/>
    <n v="426"/>
    <n v="1704"/>
    <x v="1"/>
  </r>
  <r>
    <n v="1100"/>
    <x v="387"/>
    <x v="5"/>
    <x v="1"/>
    <x v="1099"/>
    <x v="0"/>
    <x v="18"/>
    <x v="2"/>
    <n v="3"/>
    <n v="309"/>
    <n v="927"/>
    <x v="2"/>
  </r>
  <r>
    <n v="1101"/>
    <x v="427"/>
    <x v="7"/>
    <x v="1"/>
    <x v="1100"/>
    <x v="0"/>
    <x v="4"/>
    <x v="0"/>
    <n v="3"/>
    <n v="434"/>
    <n v="1302"/>
    <x v="2"/>
  </r>
  <r>
    <n v="1102"/>
    <x v="428"/>
    <x v="9"/>
    <x v="1"/>
    <x v="1101"/>
    <x v="0"/>
    <x v="30"/>
    <x v="2"/>
    <n v="1"/>
    <n v="198"/>
    <n v="198"/>
    <x v="1"/>
  </r>
  <r>
    <n v="1103"/>
    <x v="429"/>
    <x v="5"/>
    <x v="1"/>
    <x v="1102"/>
    <x v="0"/>
    <x v="42"/>
    <x v="0"/>
    <n v="4"/>
    <n v="120"/>
    <n v="480"/>
    <x v="2"/>
  </r>
  <r>
    <n v="1104"/>
    <x v="430"/>
    <x v="7"/>
    <x v="1"/>
    <x v="1103"/>
    <x v="0"/>
    <x v="34"/>
    <x v="0"/>
    <n v="3"/>
    <n v="388"/>
    <n v="1164"/>
    <x v="2"/>
  </r>
  <r>
    <n v="1105"/>
    <x v="431"/>
    <x v="6"/>
    <x v="1"/>
    <x v="1104"/>
    <x v="1"/>
    <x v="38"/>
    <x v="1"/>
    <n v="4"/>
    <n v="474"/>
    <n v="1896"/>
    <x v="0"/>
  </r>
  <r>
    <n v="1106"/>
    <x v="432"/>
    <x v="4"/>
    <x v="1"/>
    <x v="1105"/>
    <x v="1"/>
    <x v="24"/>
    <x v="2"/>
    <n v="2"/>
    <n v="293"/>
    <n v="586"/>
    <x v="1"/>
  </r>
  <r>
    <n v="1107"/>
    <x v="433"/>
    <x v="9"/>
    <x v="1"/>
    <x v="1106"/>
    <x v="0"/>
    <x v="41"/>
    <x v="2"/>
    <n v="1"/>
    <n v="423"/>
    <n v="423"/>
    <x v="1"/>
  </r>
  <r>
    <n v="1108"/>
    <x v="434"/>
    <x v="1"/>
    <x v="1"/>
    <x v="1107"/>
    <x v="0"/>
    <x v="24"/>
    <x v="0"/>
    <n v="1"/>
    <n v="434"/>
    <n v="434"/>
    <x v="1"/>
  </r>
  <r>
    <n v="1109"/>
    <x v="435"/>
    <x v="3"/>
    <x v="1"/>
    <x v="1108"/>
    <x v="0"/>
    <x v="27"/>
    <x v="2"/>
    <n v="4"/>
    <n v="400"/>
    <n v="1600"/>
    <x v="2"/>
  </r>
  <r>
    <n v="1110"/>
    <x v="436"/>
    <x v="3"/>
    <x v="1"/>
    <x v="1109"/>
    <x v="1"/>
    <x v="31"/>
    <x v="1"/>
    <n v="1"/>
    <n v="445"/>
    <n v="445"/>
    <x v="2"/>
  </r>
  <r>
    <n v="1111"/>
    <x v="397"/>
    <x v="3"/>
    <x v="1"/>
    <x v="1110"/>
    <x v="0"/>
    <x v="4"/>
    <x v="0"/>
    <n v="1"/>
    <n v="260"/>
    <n v="260"/>
    <x v="2"/>
  </r>
  <r>
    <n v="1112"/>
    <x v="437"/>
    <x v="5"/>
    <x v="1"/>
    <x v="1111"/>
    <x v="0"/>
    <x v="3"/>
    <x v="2"/>
    <n v="1"/>
    <n v="376"/>
    <n v="376"/>
    <x v="2"/>
  </r>
  <r>
    <n v="1113"/>
    <x v="430"/>
    <x v="7"/>
    <x v="1"/>
    <x v="1112"/>
    <x v="0"/>
    <x v="44"/>
    <x v="2"/>
    <n v="1"/>
    <n v="77"/>
    <n v="77"/>
    <x v="2"/>
  </r>
  <r>
    <n v="1114"/>
    <x v="438"/>
    <x v="3"/>
    <x v="1"/>
    <x v="1113"/>
    <x v="1"/>
    <x v="0"/>
    <x v="0"/>
    <n v="3"/>
    <n v="352"/>
    <n v="1056"/>
    <x v="2"/>
  </r>
  <r>
    <n v="1115"/>
    <x v="439"/>
    <x v="1"/>
    <x v="1"/>
    <x v="1114"/>
    <x v="1"/>
    <x v="27"/>
    <x v="1"/>
    <n v="3"/>
    <n v="166"/>
    <n v="498"/>
    <x v="1"/>
  </r>
  <r>
    <n v="1116"/>
    <x v="440"/>
    <x v="3"/>
    <x v="1"/>
    <x v="1115"/>
    <x v="1"/>
    <x v="24"/>
    <x v="0"/>
    <n v="1"/>
    <n v="164"/>
    <n v="164"/>
    <x v="2"/>
  </r>
  <r>
    <n v="1117"/>
    <x v="441"/>
    <x v="10"/>
    <x v="1"/>
    <x v="1116"/>
    <x v="0"/>
    <x v="12"/>
    <x v="1"/>
    <n v="1"/>
    <n v="343"/>
    <n v="343"/>
    <x v="1"/>
  </r>
  <r>
    <n v="1118"/>
    <x v="442"/>
    <x v="7"/>
    <x v="1"/>
    <x v="1117"/>
    <x v="0"/>
    <x v="4"/>
    <x v="0"/>
    <n v="3"/>
    <n v="306"/>
    <n v="918"/>
    <x v="2"/>
  </r>
  <r>
    <n v="1119"/>
    <x v="443"/>
    <x v="9"/>
    <x v="1"/>
    <x v="1118"/>
    <x v="1"/>
    <x v="30"/>
    <x v="0"/>
    <n v="3"/>
    <n v="318"/>
    <n v="954"/>
    <x v="1"/>
  </r>
  <r>
    <n v="1120"/>
    <x v="444"/>
    <x v="4"/>
    <x v="1"/>
    <x v="1119"/>
    <x v="0"/>
    <x v="25"/>
    <x v="2"/>
    <n v="3"/>
    <n v="301"/>
    <n v="903"/>
    <x v="1"/>
  </r>
  <r>
    <n v="1121"/>
    <x v="445"/>
    <x v="2"/>
    <x v="1"/>
    <x v="1120"/>
    <x v="0"/>
    <x v="43"/>
    <x v="1"/>
    <n v="4"/>
    <n v="487"/>
    <n v="1948"/>
    <x v="2"/>
  </r>
  <r>
    <n v="1122"/>
    <x v="446"/>
    <x v="8"/>
    <x v="1"/>
    <x v="1121"/>
    <x v="0"/>
    <x v="1"/>
    <x v="2"/>
    <n v="1"/>
    <n v="69"/>
    <n v="69"/>
    <x v="0"/>
  </r>
  <r>
    <n v="1123"/>
    <x v="447"/>
    <x v="2"/>
    <x v="1"/>
    <x v="1122"/>
    <x v="1"/>
    <x v="36"/>
    <x v="0"/>
    <n v="4"/>
    <n v="340"/>
    <n v="1360"/>
    <x v="2"/>
  </r>
  <r>
    <n v="1124"/>
    <x v="448"/>
    <x v="5"/>
    <x v="1"/>
    <x v="1123"/>
    <x v="1"/>
    <x v="44"/>
    <x v="1"/>
    <n v="1"/>
    <n v="497"/>
    <n v="497"/>
    <x v="2"/>
  </r>
  <r>
    <n v="1125"/>
    <x v="373"/>
    <x v="2"/>
    <x v="1"/>
    <x v="1124"/>
    <x v="0"/>
    <x v="16"/>
    <x v="0"/>
    <n v="4"/>
    <n v="74"/>
    <n v="296"/>
    <x v="2"/>
  </r>
  <r>
    <n v="1126"/>
    <x v="449"/>
    <x v="2"/>
    <x v="1"/>
    <x v="1125"/>
    <x v="1"/>
    <x v="17"/>
    <x v="0"/>
    <n v="4"/>
    <n v="265"/>
    <n v="1060"/>
    <x v="2"/>
  </r>
  <r>
    <n v="1127"/>
    <x v="390"/>
    <x v="1"/>
    <x v="1"/>
    <x v="1126"/>
    <x v="0"/>
    <x v="30"/>
    <x v="0"/>
    <n v="3"/>
    <n v="492"/>
    <n v="1476"/>
    <x v="1"/>
  </r>
  <r>
    <n v="1128"/>
    <x v="450"/>
    <x v="5"/>
    <x v="1"/>
    <x v="1127"/>
    <x v="1"/>
    <x v="36"/>
    <x v="0"/>
    <n v="3"/>
    <n v="428"/>
    <n v="1284"/>
    <x v="2"/>
  </r>
  <r>
    <n v="1129"/>
    <x v="350"/>
    <x v="9"/>
    <x v="1"/>
    <x v="1128"/>
    <x v="1"/>
    <x v="45"/>
    <x v="1"/>
    <n v="1"/>
    <n v="268"/>
    <n v="268"/>
    <x v="1"/>
  </r>
  <r>
    <n v="1130"/>
    <x v="451"/>
    <x v="11"/>
    <x v="1"/>
    <x v="1129"/>
    <x v="1"/>
    <x v="40"/>
    <x v="2"/>
    <n v="2"/>
    <n v="169"/>
    <n v="338"/>
    <x v="0"/>
  </r>
  <r>
    <n v="1131"/>
    <x v="452"/>
    <x v="9"/>
    <x v="1"/>
    <x v="1130"/>
    <x v="0"/>
    <x v="26"/>
    <x v="1"/>
    <n v="4"/>
    <n v="443"/>
    <n v="1772"/>
    <x v="1"/>
  </r>
  <r>
    <n v="1132"/>
    <x v="453"/>
    <x v="8"/>
    <x v="1"/>
    <x v="1131"/>
    <x v="0"/>
    <x v="31"/>
    <x v="0"/>
    <n v="1"/>
    <n v="430"/>
    <n v="430"/>
    <x v="0"/>
  </r>
  <r>
    <n v="1133"/>
    <x v="433"/>
    <x v="9"/>
    <x v="1"/>
    <x v="1132"/>
    <x v="1"/>
    <x v="13"/>
    <x v="0"/>
    <n v="4"/>
    <n v="147"/>
    <n v="588"/>
    <x v="1"/>
  </r>
  <r>
    <n v="1134"/>
    <x v="454"/>
    <x v="0"/>
    <x v="1"/>
    <x v="1133"/>
    <x v="0"/>
    <x v="2"/>
    <x v="1"/>
    <n v="4"/>
    <n v="221"/>
    <n v="884"/>
    <x v="0"/>
  </r>
  <r>
    <n v="1135"/>
    <x v="455"/>
    <x v="11"/>
    <x v="1"/>
    <x v="1134"/>
    <x v="1"/>
    <x v="4"/>
    <x v="0"/>
    <n v="4"/>
    <n v="426"/>
    <n v="1704"/>
    <x v="0"/>
  </r>
  <r>
    <n v="1136"/>
    <x v="456"/>
    <x v="2"/>
    <x v="1"/>
    <x v="1135"/>
    <x v="1"/>
    <x v="6"/>
    <x v="0"/>
    <n v="2"/>
    <n v="113"/>
    <n v="226"/>
    <x v="2"/>
  </r>
  <r>
    <n v="1137"/>
    <x v="457"/>
    <x v="8"/>
    <x v="1"/>
    <x v="1136"/>
    <x v="0"/>
    <x v="23"/>
    <x v="0"/>
    <n v="4"/>
    <n v="83"/>
    <n v="332"/>
    <x v="0"/>
  </r>
  <r>
    <n v="1138"/>
    <x v="458"/>
    <x v="7"/>
    <x v="1"/>
    <x v="1137"/>
    <x v="1"/>
    <x v="31"/>
    <x v="0"/>
    <n v="1"/>
    <n v="445"/>
    <n v="445"/>
    <x v="2"/>
  </r>
  <r>
    <n v="1139"/>
    <x v="445"/>
    <x v="2"/>
    <x v="1"/>
    <x v="1138"/>
    <x v="0"/>
    <x v="34"/>
    <x v="2"/>
    <n v="1"/>
    <n v="331"/>
    <n v="331"/>
    <x v="2"/>
  </r>
  <r>
    <n v="1140"/>
    <x v="459"/>
    <x v="11"/>
    <x v="1"/>
    <x v="1139"/>
    <x v="1"/>
    <x v="31"/>
    <x v="2"/>
    <n v="1"/>
    <n v="71"/>
    <n v="71"/>
    <x v="0"/>
  </r>
  <r>
    <n v="1141"/>
    <x v="460"/>
    <x v="1"/>
    <x v="1"/>
    <x v="1140"/>
    <x v="0"/>
    <x v="15"/>
    <x v="0"/>
    <n v="1"/>
    <n v="412"/>
    <n v="412"/>
    <x v="1"/>
  </r>
  <r>
    <n v="1142"/>
    <x v="461"/>
    <x v="10"/>
    <x v="1"/>
    <x v="1141"/>
    <x v="0"/>
    <x v="24"/>
    <x v="0"/>
    <n v="3"/>
    <n v="224"/>
    <n v="672"/>
    <x v="1"/>
  </r>
  <r>
    <n v="1143"/>
    <x v="462"/>
    <x v="0"/>
    <x v="1"/>
    <x v="1142"/>
    <x v="1"/>
    <x v="27"/>
    <x v="1"/>
    <n v="3"/>
    <n v="178"/>
    <n v="534"/>
    <x v="0"/>
  </r>
  <r>
    <n v="1144"/>
    <x v="424"/>
    <x v="7"/>
    <x v="1"/>
    <x v="1143"/>
    <x v="1"/>
    <x v="28"/>
    <x v="0"/>
    <n v="3"/>
    <n v="70"/>
    <n v="210"/>
    <x v="2"/>
  </r>
  <r>
    <n v="1145"/>
    <x v="463"/>
    <x v="7"/>
    <x v="1"/>
    <x v="1144"/>
    <x v="0"/>
    <x v="35"/>
    <x v="0"/>
    <n v="4"/>
    <n v="458"/>
    <n v="1832"/>
    <x v="2"/>
  </r>
  <r>
    <n v="1146"/>
    <x v="464"/>
    <x v="10"/>
    <x v="1"/>
    <x v="1145"/>
    <x v="1"/>
    <x v="21"/>
    <x v="2"/>
    <n v="1"/>
    <n v="25"/>
    <n v="25"/>
    <x v="1"/>
  </r>
  <r>
    <n v="1147"/>
    <x v="465"/>
    <x v="8"/>
    <x v="1"/>
    <x v="1146"/>
    <x v="1"/>
    <x v="41"/>
    <x v="2"/>
    <n v="1"/>
    <n v="145"/>
    <n v="145"/>
    <x v="0"/>
  </r>
  <r>
    <n v="1148"/>
    <x v="357"/>
    <x v="2"/>
    <x v="1"/>
    <x v="1147"/>
    <x v="1"/>
    <x v="7"/>
    <x v="2"/>
    <n v="4"/>
    <n v="232"/>
    <n v="928"/>
    <x v="2"/>
  </r>
  <r>
    <n v="1149"/>
    <x v="382"/>
    <x v="5"/>
    <x v="1"/>
    <x v="1148"/>
    <x v="1"/>
    <x v="6"/>
    <x v="1"/>
    <n v="2"/>
    <n v="268"/>
    <n v="536"/>
    <x v="2"/>
  </r>
  <r>
    <n v="1150"/>
    <x v="466"/>
    <x v="10"/>
    <x v="1"/>
    <x v="1149"/>
    <x v="0"/>
    <x v="2"/>
    <x v="2"/>
    <n v="3"/>
    <n v="455"/>
    <n v="1365"/>
    <x v="1"/>
  </r>
  <r>
    <n v="1151"/>
    <x v="467"/>
    <x v="2"/>
    <x v="1"/>
    <x v="1150"/>
    <x v="0"/>
    <x v="39"/>
    <x v="0"/>
    <n v="2"/>
    <n v="93"/>
    <n v="186"/>
    <x v="2"/>
  </r>
  <r>
    <n v="1152"/>
    <x v="468"/>
    <x v="6"/>
    <x v="1"/>
    <x v="1151"/>
    <x v="0"/>
    <x v="19"/>
    <x v="1"/>
    <n v="2"/>
    <n v="394"/>
    <n v="788"/>
    <x v="0"/>
  </r>
  <r>
    <n v="1153"/>
    <x v="469"/>
    <x v="3"/>
    <x v="1"/>
    <x v="1152"/>
    <x v="1"/>
    <x v="43"/>
    <x v="1"/>
    <n v="2"/>
    <n v="353"/>
    <n v="706"/>
    <x v="2"/>
  </r>
  <r>
    <n v="1154"/>
    <x v="470"/>
    <x v="5"/>
    <x v="1"/>
    <x v="1153"/>
    <x v="1"/>
    <x v="11"/>
    <x v="0"/>
    <n v="4"/>
    <n v="344"/>
    <n v="1376"/>
    <x v="2"/>
  </r>
  <r>
    <n v="1155"/>
    <x v="471"/>
    <x v="1"/>
    <x v="1"/>
    <x v="1154"/>
    <x v="1"/>
    <x v="26"/>
    <x v="2"/>
    <n v="4"/>
    <n v="221"/>
    <n v="884"/>
    <x v="1"/>
  </r>
  <r>
    <n v="1156"/>
    <x v="428"/>
    <x v="9"/>
    <x v="1"/>
    <x v="1155"/>
    <x v="0"/>
    <x v="36"/>
    <x v="2"/>
    <n v="1"/>
    <n v="320"/>
    <n v="320"/>
    <x v="1"/>
  </r>
  <r>
    <n v="1157"/>
    <x v="472"/>
    <x v="3"/>
    <x v="1"/>
    <x v="1156"/>
    <x v="0"/>
    <x v="23"/>
    <x v="0"/>
    <n v="3"/>
    <n v="235"/>
    <n v="705"/>
    <x v="2"/>
  </r>
  <r>
    <n v="1158"/>
    <x v="473"/>
    <x v="7"/>
    <x v="1"/>
    <x v="1157"/>
    <x v="1"/>
    <x v="8"/>
    <x v="1"/>
    <n v="4"/>
    <n v="385"/>
    <n v="1540"/>
    <x v="2"/>
  </r>
  <r>
    <n v="1159"/>
    <x v="415"/>
    <x v="5"/>
    <x v="1"/>
    <x v="1158"/>
    <x v="0"/>
    <x v="15"/>
    <x v="2"/>
    <n v="1"/>
    <n v="97"/>
    <n v="97"/>
    <x v="2"/>
  </r>
  <r>
    <n v="1160"/>
    <x v="417"/>
    <x v="3"/>
    <x v="1"/>
    <x v="1159"/>
    <x v="1"/>
    <x v="20"/>
    <x v="0"/>
    <n v="1"/>
    <n v="292"/>
    <n v="292"/>
    <x v="2"/>
  </r>
  <r>
    <n v="1161"/>
    <x v="474"/>
    <x v="0"/>
    <x v="1"/>
    <x v="1160"/>
    <x v="0"/>
    <x v="14"/>
    <x v="2"/>
    <n v="1"/>
    <n v="375"/>
    <n v="375"/>
    <x v="0"/>
  </r>
  <r>
    <n v="1162"/>
    <x v="475"/>
    <x v="0"/>
    <x v="1"/>
    <x v="1161"/>
    <x v="1"/>
    <x v="35"/>
    <x v="1"/>
    <n v="3"/>
    <n v="298"/>
    <n v="894"/>
    <x v="0"/>
  </r>
  <r>
    <n v="1163"/>
    <x v="468"/>
    <x v="6"/>
    <x v="1"/>
    <x v="1162"/>
    <x v="1"/>
    <x v="20"/>
    <x v="0"/>
    <n v="4"/>
    <n v="318"/>
    <n v="1272"/>
    <x v="0"/>
  </r>
  <r>
    <n v="1164"/>
    <x v="370"/>
    <x v="9"/>
    <x v="1"/>
    <x v="1163"/>
    <x v="1"/>
    <x v="5"/>
    <x v="2"/>
    <n v="3"/>
    <n v="110"/>
    <n v="330"/>
    <x v="1"/>
  </r>
  <r>
    <n v="1165"/>
    <x v="476"/>
    <x v="6"/>
    <x v="1"/>
    <x v="1164"/>
    <x v="1"/>
    <x v="46"/>
    <x v="0"/>
    <n v="3"/>
    <n v="56"/>
    <n v="168"/>
    <x v="0"/>
  </r>
  <r>
    <n v="1166"/>
    <x v="477"/>
    <x v="0"/>
    <x v="1"/>
    <x v="1165"/>
    <x v="1"/>
    <x v="15"/>
    <x v="1"/>
    <n v="1"/>
    <n v="361"/>
    <n v="361"/>
    <x v="0"/>
  </r>
  <r>
    <n v="1167"/>
    <x v="395"/>
    <x v="4"/>
    <x v="1"/>
    <x v="1166"/>
    <x v="0"/>
    <x v="39"/>
    <x v="2"/>
    <n v="1"/>
    <n v="89"/>
    <n v="89"/>
    <x v="1"/>
  </r>
  <r>
    <n v="1168"/>
    <x v="478"/>
    <x v="3"/>
    <x v="1"/>
    <x v="1167"/>
    <x v="0"/>
    <x v="12"/>
    <x v="2"/>
    <n v="2"/>
    <n v="340"/>
    <n v="680"/>
    <x v="2"/>
  </r>
  <r>
    <n v="1169"/>
    <x v="479"/>
    <x v="4"/>
    <x v="1"/>
    <x v="1168"/>
    <x v="1"/>
    <x v="22"/>
    <x v="1"/>
    <n v="1"/>
    <n v="334"/>
    <n v="334"/>
    <x v="1"/>
  </r>
  <r>
    <n v="1170"/>
    <x v="480"/>
    <x v="10"/>
    <x v="1"/>
    <x v="1169"/>
    <x v="0"/>
    <x v="33"/>
    <x v="2"/>
    <n v="3"/>
    <n v="438"/>
    <n v="1314"/>
    <x v="1"/>
  </r>
  <r>
    <n v="1171"/>
    <x v="480"/>
    <x v="10"/>
    <x v="1"/>
    <x v="1170"/>
    <x v="1"/>
    <x v="11"/>
    <x v="1"/>
    <n v="4"/>
    <n v="117"/>
    <n v="468"/>
    <x v="1"/>
  </r>
  <r>
    <n v="1172"/>
    <x v="481"/>
    <x v="3"/>
    <x v="1"/>
    <x v="1171"/>
    <x v="0"/>
    <x v="44"/>
    <x v="1"/>
    <n v="2"/>
    <n v="329"/>
    <n v="658"/>
    <x v="2"/>
  </r>
  <r>
    <n v="1173"/>
    <x v="482"/>
    <x v="10"/>
    <x v="1"/>
    <x v="1172"/>
    <x v="1"/>
    <x v="38"/>
    <x v="2"/>
    <n v="2"/>
    <n v="363"/>
    <n v="726"/>
    <x v="1"/>
  </r>
  <r>
    <n v="1174"/>
    <x v="483"/>
    <x v="2"/>
    <x v="1"/>
    <x v="1173"/>
    <x v="0"/>
    <x v="4"/>
    <x v="0"/>
    <n v="3"/>
    <n v="52"/>
    <n v="156"/>
    <x v="2"/>
  </r>
  <r>
    <n v="1175"/>
    <x v="351"/>
    <x v="0"/>
    <x v="1"/>
    <x v="1174"/>
    <x v="1"/>
    <x v="41"/>
    <x v="1"/>
    <n v="2"/>
    <n v="262"/>
    <n v="524"/>
    <x v="0"/>
  </r>
  <r>
    <n v="1176"/>
    <x v="359"/>
    <x v="5"/>
    <x v="1"/>
    <x v="1175"/>
    <x v="1"/>
    <x v="34"/>
    <x v="2"/>
    <n v="2"/>
    <n v="219"/>
    <n v="438"/>
    <x v="2"/>
  </r>
  <r>
    <n v="1177"/>
    <x v="484"/>
    <x v="8"/>
    <x v="1"/>
    <x v="1176"/>
    <x v="1"/>
    <x v="40"/>
    <x v="2"/>
    <n v="2"/>
    <n v="296"/>
    <n v="592"/>
    <x v="0"/>
  </r>
  <r>
    <n v="1178"/>
    <x v="456"/>
    <x v="2"/>
    <x v="1"/>
    <x v="1177"/>
    <x v="0"/>
    <x v="39"/>
    <x v="2"/>
    <n v="4"/>
    <n v="372"/>
    <n v="1488"/>
    <x v="2"/>
  </r>
  <r>
    <n v="1179"/>
    <x v="346"/>
    <x v="9"/>
    <x v="1"/>
    <x v="1178"/>
    <x v="0"/>
    <x v="1"/>
    <x v="0"/>
    <n v="3"/>
    <n v="457"/>
    <n v="1371"/>
    <x v="1"/>
  </r>
  <r>
    <n v="1180"/>
    <x v="357"/>
    <x v="2"/>
    <x v="1"/>
    <x v="1179"/>
    <x v="1"/>
    <x v="44"/>
    <x v="2"/>
    <n v="3"/>
    <n v="435"/>
    <n v="1305"/>
    <x v="2"/>
  </r>
  <r>
    <n v="1181"/>
    <x v="485"/>
    <x v="11"/>
    <x v="1"/>
    <x v="1180"/>
    <x v="1"/>
    <x v="19"/>
    <x v="0"/>
    <n v="4"/>
    <n v="261"/>
    <n v="1044"/>
    <x v="0"/>
  </r>
  <r>
    <n v="1182"/>
    <x v="446"/>
    <x v="8"/>
    <x v="1"/>
    <x v="1181"/>
    <x v="0"/>
    <x v="46"/>
    <x v="0"/>
    <n v="2"/>
    <n v="291"/>
    <n v="582"/>
    <x v="0"/>
  </r>
  <r>
    <n v="1183"/>
    <x v="486"/>
    <x v="9"/>
    <x v="1"/>
    <x v="1182"/>
    <x v="0"/>
    <x v="31"/>
    <x v="0"/>
    <n v="1"/>
    <n v="369"/>
    <n v="369"/>
    <x v="1"/>
  </r>
  <r>
    <n v="1184"/>
    <x v="487"/>
    <x v="6"/>
    <x v="1"/>
    <x v="1183"/>
    <x v="0"/>
    <x v="3"/>
    <x v="2"/>
    <n v="1"/>
    <n v="293"/>
    <n v="293"/>
    <x v="0"/>
  </r>
  <r>
    <n v="1185"/>
    <x v="488"/>
    <x v="11"/>
    <x v="1"/>
    <x v="1184"/>
    <x v="1"/>
    <x v="5"/>
    <x v="1"/>
    <n v="3"/>
    <n v="153"/>
    <n v="459"/>
    <x v="0"/>
  </r>
  <r>
    <n v="1186"/>
    <x v="489"/>
    <x v="1"/>
    <x v="1"/>
    <x v="1185"/>
    <x v="0"/>
    <x v="0"/>
    <x v="0"/>
    <n v="1"/>
    <n v="54"/>
    <n v="54"/>
    <x v="1"/>
  </r>
  <r>
    <n v="1187"/>
    <x v="430"/>
    <x v="7"/>
    <x v="1"/>
    <x v="1186"/>
    <x v="0"/>
    <x v="32"/>
    <x v="0"/>
    <n v="1"/>
    <n v="387"/>
    <n v="387"/>
    <x v="2"/>
  </r>
  <r>
    <n v="1188"/>
    <x v="353"/>
    <x v="10"/>
    <x v="1"/>
    <x v="1187"/>
    <x v="0"/>
    <x v="32"/>
    <x v="1"/>
    <n v="4"/>
    <n v="361"/>
    <n v="1444"/>
    <x v="1"/>
  </r>
  <r>
    <n v="1189"/>
    <x v="490"/>
    <x v="0"/>
    <x v="1"/>
    <x v="1188"/>
    <x v="0"/>
    <x v="41"/>
    <x v="0"/>
    <n v="2"/>
    <n v="154"/>
    <n v="308"/>
    <x v="0"/>
  </r>
  <r>
    <n v="507"/>
    <x v="65"/>
    <x v="6"/>
    <x v="0"/>
    <x v="1189"/>
    <x v="1"/>
    <x v="1"/>
    <x v="2"/>
    <n v="4"/>
    <n v="496"/>
    <n v="1984"/>
    <x v="0"/>
  </r>
  <r>
    <n v="1191"/>
    <x v="491"/>
    <x v="4"/>
    <x v="1"/>
    <x v="1190"/>
    <x v="1"/>
    <x v="11"/>
    <x v="0"/>
    <n v="3"/>
    <n v="156"/>
    <n v="468"/>
    <x v="1"/>
  </r>
  <r>
    <n v="1192"/>
    <x v="492"/>
    <x v="10"/>
    <x v="1"/>
    <x v="1191"/>
    <x v="0"/>
    <x v="12"/>
    <x v="1"/>
    <n v="4"/>
    <n v="223"/>
    <n v="892"/>
    <x v="1"/>
  </r>
  <r>
    <n v="1193"/>
    <x v="493"/>
    <x v="9"/>
    <x v="1"/>
    <x v="1192"/>
    <x v="0"/>
    <x v="22"/>
    <x v="2"/>
    <n v="2"/>
    <n v="250"/>
    <n v="500"/>
    <x v="1"/>
  </r>
  <r>
    <n v="1194"/>
    <x v="494"/>
    <x v="11"/>
    <x v="1"/>
    <x v="1193"/>
    <x v="1"/>
    <x v="27"/>
    <x v="0"/>
    <n v="4"/>
    <n v="116"/>
    <n v="464"/>
    <x v="0"/>
  </r>
  <r>
    <n v="1195"/>
    <x v="495"/>
    <x v="0"/>
    <x v="1"/>
    <x v="1194"/>
    <x v="1"/>
    <x v="1"/>
    <x v="1"/>
    <n v="4"/>
    <n v="136"/>
    <n v="544"/>
    <x v="0"/>
  </r>
  <r>
    <n v="1196"/>
    <x v="496"/>
    <x v="0"/>
    <x v="1"/>
    <x v="1195"/>
    <x v="0"/>
    <x v="24"/>
    <x v="0"/>
    <n v="3"/>
    <n v="77"/>
    <n v="231"/>
    <x v="0"/>
  </r>
  <r>
    <n v="1197"/>
    <x v="497"/>
    <x v="6"/>
    <x v="1"/>
    <x v="1196"/>
    <x v="0"/>
    <x v="25"/>
    <x v="0"/>
    <n v="3"/>
    <n v="422"/>
    <n v="1266"/>
    <x v="0"/>
  </r>
  <r>
    <n v="1198"/>
    <x v="405"/>
    <x v="2"/>
    <x v="1"/>
    <x v="1197"/>
    <x v="0"/>
    <x v="45"/>
    <x v="1"/>
    <n v="1"/>
    <n v="44"/>
    <n v="44"/>
    <x v="2"/>
  </r>
  <r>
    <n v="1199"/>
    <x v="498"/>
    <x v="8"/>
    <x v="1"/>
    <x v="1198"/>
    <x v="1"/>
    <x v="12"/>
    <x v="1"/>
    <n v="3"/>
    <n v="488"/>
    <n v="1464"/>
    <x v="0"/>
  </r>
  <r>
    <n v="1200"/>
    <x v="499"/>
    <x v="5"/>
    <x v="1"/>
    <x v="1199"/>
    <x v="0"/>
    <x v="26"/>
    <x v="0"/>
    <n v="4"/>
    <n v="269"/>
    <n v="1076"/>
    <x v="2"/>
  </r>
  <r>
    <n v="1201"/>
    <x v="500"/>
    <x v="2"/>
    <x v="1"/>
    <x v="1200"/>
    <x v="1"/>
    <x v="46"/>
    <x v="1"/>
    <n v="2"/>
    <n v="26"/>
    <n v="52"/>
    <x v="2"/>
  </r>
  <r>
    <n v="1202"/>
    <x v="501"/>
    <x v="5"/>
    <x v="1"/>
    <x v="1201"/>
    <x v="1"/>
    <x v="41"/>
    <x v="0"/>
    <n v="3"/>
    <n v="195"/>
    <n v="585"/>
    <x v="2"/>
  </r>
  <r>
    <n v="1203"/>
    <x v="484"/>
    <x v="8"/>
    <x v="1"/>
    <x v="1202"/>
    <x v="1"/>
    <x v="13"/>
    <x v="1"/>
    <n v="1"/>
    <n v="212"/>
    <n v="212"/>
    <x v="0"/>
  </r>
  <r>
    <n v="1204"/>
    <x v="502"/>
    <x v="3"/>
    <x v="1"/>
    <x v="1203"/>
    <x v="1"/>
    <x v="16"/>
    <x v="2"/>
    <n v="3"/>
    <n v="356"/>
    <n v="1068"/>
    <x v="2"/>
  </r>
  <r>
    <n v="1205"/>
    <x v="434"/>
    <x v="1"/>
    <x v="1"/>
    <x v="1204"/>
    <x v="0"/>
    <x v="2"/>
    <x v="1"/>
    <n v="4"/>
    <n v="363"/>
    <n v="1452"/>
    <x v="1"/>
  </r>
  <r>
    <n v="1206"/>
    <x v="503"/>
    <x v="1"/>
    <x v="1"/>
    <x v="1205"/>
    <x v="1"/>
    <x v="11"/>
    <x v="2"/>
    <n v="1"/>
    <n v="347"/>
    <n v="347"/>
    <x v="1"/>
  </r>
  <r>
    <n v="1207"/>
    <x v="272"/>
    <x v="8"/>
    <x v="1"/>
    <x v="1206"/>
    <x v="1"/>
    <x v="45"/>
    <x v="1"/>
    <n v="4"/>
    <n v="401"/>
    <n v="1604"/>
    <x v="0"/>
  </r>
  <r>
    <n v="1208"/>
    <x v="503"/>
    <x v="1"/>
    <x v="1"/>
    <x v="1207"/>
    <x v="0"/>
    <x v="8"/>
    <x v="1"/>
    <n v="1"/>
    <n v="393"/>
    <n v="393"/>
    <x v="1"/>
  </r>
  <r>
    <n v="1209"/>
    <x v="458"/>
    <x v="7"/>
    <x v="1"/>
    <x v="1208"/>
    <x v="0"/>
    <x v="45"/>
    <x v="2"/>
    <n v="1"/>
    <n v="430"/>
    <n v="430"/>
    <x v="2"/>
  </r>
  <r>
    <n v="1210"/>
    <x v="355"/>
    <x v="7"/>
    <x v="1"/>
    <x v="1209"/>
    <x v="1"/>
    <x v="45"/>
    <x v="0"/>
    <n v="4"/>
    <n v="33"/>
    <n v="132"/>
    <x v="2"/>
  </r>
  <r>
    <n v="1211"/>
    <x v="476"/>
    <x v="6"/>
    <x v="1"/>
    <x v="1210"/>
    <x v="1"/>
    <x v="21"/>
    <x v="2"/>
    <n v="1"/>
    <n v="232"/>
    <n v="232"/>
    <x v="0"/>
  </r>
  <r>
    <n v="1212"/>
    <x v="504"/>
    <x v="10"/>
    <x v="1"/>
    <x v="1211"/>
    <x v="0"/>
    <x v="19"/>
    <x v="0"/>
    <n v="4"/>
    <n v="372"/>
    <n v="1488"/>
    <x v="1"/>
  </r>
  <r>
    <n v="1213"/>
    <x v="427"/>
    <x v="7"/>
    <x v="1"/>
    <x v="1212"/>
    <x v="0"/>
    <x v="15"/>
    <x v="1"/>
    <n v="1"/>
    <n v="43"/>
    <n v="43"/>
    <x v="2"/>
  </r>
  <r>
    <n v="1214"/>
    <x v="505"/>
    <x v="10"/>
    <x v="1"/>
    <x v="1213"/>
    <x v="1"/>
    <x v="19"/>
    <x v="1"/>
    <n v="4"/>
    <n v="489"/>
    <n v="1956"/>
    <x v="1"/>
  </r>
  <r>
    <n v="1215"/>
    <x v="506"/>
    <x v="0"/>
    <x v="1"/>
    <x v="1214"/>
    <x v="0"/>
    <x v="14"/>
    <x v="0"/>
    <n v="2"/>
    <n v="32"/>
    <n v="64"/>
    <x v="0"/>
  </r>
  <r>
    <n v="1216"/>
    <x v="507"/>
    <x v="10"/>
    <x v="1"/>
    <x v="1215"/>
    <x v="0"/>
    <x v="34"/>
    <x v="1"/>
    <n v="4"/>
    <n v="337"/>
    <n v="1348"/>
    <x v="1"/>
  </r>
  <r>
    <n v="1217"/>
    <x v="372"/>
    <x v="10"/>
    <x v="1"/>
    <x v="1216"/>
    <x v="0"/>
    <x v="1"/>
    <x v="1"/>
    <n v="4"/>
    <n v="329"/>
    <n v="1316"/>
    <x v="1"/>
  </r>
  <r>
    <n v="1218"/>
    <x v="462"/>
    <x v="0"/>
    <x v="1"/>
    <x v="1217"/>
    <x v="0"/>
    <x v="25"/>
    <x v="1"/>
    <n v="4"/>
    <n v="197"/>
    <n v="788"/>
    <x v="0"/>
  </r>
  <r>
    <n v="1219"/>
    <x v="508"/>
    <x v="8"/>
    <x v="1"/>
    <x v="1218"/>
    <x v="1"/>
    <x v="31"/>
    <x v="1"/>
    <n v="2"/>
    <n v="189"/>
    <n v="378"/>
    <x v="0"/>
  </r>
  <r>
    <n v="1220"/>
    <x v="509"/>
    <x v="1"/>
    <x v="1"/>
    <x v="1219"/>
    <x v="0"/>
    <x v="15"/>
    <x v="1"/>
    <n v="3"/>
    <n v="57"/>
    <n v="171"/>
    <x v="1"/>
  </r>
  <r>
    <n v="1221"/>
    <x v="353"/>
    <x v="10"/>
    <x v="1"/>
    <x v="1220"/>
    <x v="1"/>
    <x v="30"/>
    <x v="2"/>
    <n v="2"/>
    <n v="381"/>
    <n v="762"/>
    <x v="1"/>
  </r>
  <r>
    <n v="1222"/>
    <x v="510"/>
    <x v="5"/>
    <x v="1"/>
    <x v="1221"/>
    <x v="0"/>
    <x v="24"/>
    <x v="1"/>
    <n v="1"/>
    <n v="93"/>
    <n v="93"/>
    <x v="2"/>
  </r>
  <r>
    <n v="1223"/>
    <x v="511"/>
    <x v="11"/>
    <x v="1"/>
    <x v="1222"/>
    <x v="1"/>
    <x v="10"/>
    <x v="1"/>
    <n v="4"/>
    <n v="66"/>
    <n v="264"/>
    <x v="0"/>
  </r>
  <r>
    <n v="1224"/>
    <x v="423"/>
    <x v="6"/>
    <x v="1"/>
    <x v="1223"/>
    <x v="0"/>
    <x v="36"/>
    <x v="1"/>
    <n v="3"/>
    <n v="238"/>
    <n v="714"/>
    <x v="0"/>
  </r>
  <r>
    <n v="1225"/>
    <x v="512"/>
    <x v="8"/>
    <x v="1"/>
    <x v="1224"/>
    <x v="1"/>
    <x v="11"/>
    <x v="1"/>
    <n v="2"/>
    <n v="98"/>
    <n v="196"/>
    <x v="0"/>
  </r>
  <r>
    <n v="1226"/>
    <x v="421"/>
    <x v="0"/>
    <x v="1"/>
    <x v="1225"/>
    <x v="1"/>
    <x v="18"/>
    <x v="2"/>
    <n v="4"/>
    <n v="147"/>
    <n v="588"/>
    <x v="0"/>
  </r>
  <r>
    <n v="1227"/>
    <x v="480"/>
    <x v="10"/>
    <x v="1"/>
    <x v="1226"/>
    <x v="0"/>
    <x v="32"/>
    <x v="1"/>
    <n v="4"/>
    <n v="338"/>
    <n v="1352"/>
    <x v="1"/>
  </r>
  <r>
    <n v="1228"/>
    <x v="513"/>
    <x v="11"/>
    <x v="1"/>
    <x v="1227"/>
    <x v="1"/>
    <x v="5"/>
    <x v="2"/>
    <n v="1"/>
    <n v="310"/>
    <n v="310"/>
    <x v="0"/>
  </r>
  <r>
    <n v="1229"/>
    <x v="514"/>
    <x v="1"/>
    <x v="1"/>
    <x v="1228"/>
    <x v="0"/>
    <x v="41"/>
    <x v="0"/>
    <n v="1"/>
    <n v="341"/>
    <n v="341"/>
    <x v="1"/>
  </r>
  <r>
    <n v="1230"/>
    <x v="515"/>
    <x v="5"/>
    <x v="1"/>
    <x v="1229"/>
    <x v="0"/>
    <x v="20"/>
    <x v="0"/>
    <n v="2"/>
    <n v="166"/>
    <n v="332"/>
    <x v="2"/>
  </r>
  <r>
    <n v="1231"/>
    <x v="368"/>
    <x v="6"/>
    <x v="1"/>
    <x v="1230"/>
    <x v="0"/>
    <x v="41"/>
    <x v="1"/>
    <n v="4"/>
    <n v="279"/>
    <n v="1116"/>
    <x v="0"/>
  </r>
  <r>
    <n v="1232"/>
    <x v="516"/>
    <x v="10"/>
    <x v="1"/>
    <x v="1231"/>
    <x v="0"/>
    <x v="33"/>
    <x v="1"/>
    <n v="1"/>
    <n v="355"/>
    <n v="355"/>
    <x v="1"/>
  </r>
  <r>
    <n v="1233"/>
    <x v="450"/>
    <x v="5"/>
    <x v="1"/>
    <x v="1232"/>
    <x v="1"/>
    <x v="4"/>
    <x v="2"/>
    <n v="3"/>
    <n v="196"/>
    <n v="588"/>
    <x v="2"/>
  </r>
  <r>
    <n v="1234"/>
    <x v="462"/>
    <x v="0"/>
    <x v="1"/>
    <x v="1233"/>
    <x v="1"/>
    <x v="8"/>
    <x v="1"/>
    <n v="1"/>
    <n v="498"/>
    <n v="498"/>
    <x v="0"/>
  </r>
  <r>
    <n v="1235"/>
    <x v="517"/>
    <x v="7"/>
    <x v="1"/>
    <x v="1234"/>
    <x v="0"/>
    <x v="10"/>
    <x v="1"/>
    <n v="4"/>
    <n v="288"/>
    <n v="1152"/>
    <x v="2"/>
  </r>
  <r>
    <n v="1236"/>
    <x v="518"/>
    <x v="11"/>
    <x v="1"/>
    <x v="1235"/>
    <x v="0"/>
    <x v="14"/>
    <x v="0"/>
    <n v="4"/>
    <n v="328"/>
    <n v="1312"/>
    <x v="0"/>
  </r>
  <r>
    <n v="1237"/>
    <x v="414"/>
    <x v="7"/>
    <x v="1"/>
    <x v="1236"/>
    <x v="1"/>
    <x v="38"/>
    <x v="1"/>
    <n v="3"/>
    <n v="142"/>
    <n v="426"/>
    <x v="2"/>
  </r>
  <r>
    <n v="1238"/>
    <x v="519"/>
    <x v="11"/>
    <x v="1"/>
    <x v="1237"/>
    <x v="1"/>
    <x v="9"/>
    <x v="1"/>
    <n v="2"/>
    <n v="402"/>
    <n v="804"/>
    <x v="0"/>
  </r>
  <r>
    <n v="1239"/>
    <x v="387"/>
    <x v="5"/>
    <x v="1"/>
    <x v="1238"/>
    <x v="0"/>
    <x v="29"/>
    <x v="1"/>
    <n v="1"/>
    <n v="266"/>
    <n v="266"/>
    <x v="2"/>
  </r>
  <r>
    <n v="1240"/>
    <x v="520"/>
    <x v="7"/>
    <x v="1"/>
    <x v="1239"/>
    <x v="1"/>
    <x v="21"/>
    <x v="2"/>
    <n v="2"/>
    <n v="135"/>
    <n v="270"/>
    <x v="2"/>
  </r>
  <r>
    <n v="1241"/>
    <x v="474"/>
    <x v="0"/>
    <x v="1"/>
    <x v="1240"/>
    <x v="1"/>
    <x v="36"/>
    <x v="2"/>
    <n v="3"/>
    <n v="94"/>
    <n v="282"/>
    <x v="0"/>
  </r>
  <r>
    <n v="1242"/>
    <x v="407"/>
    <x v="2"/>
    <x v="1"/>
    <x v="1241"/>
    <x v="0"/>
    <x v="7"/>
    <x v="2"/>
    <n v="3"/>
    <n v="128"/>
    <n v="384"/>
    <x v="2"/>
  </r>
  <r>
    <n v="1243"/>
    <x v="521"/>
    <x v="9"/>
    <x v="1"/>
    <x v="1242"/>
    <x v="0"/>
    <x v="8"/>
    <x v="0"/>
    <n v="1"/>
    <n v="168"/>
    <n v="168"/>
    <x v="1"/>
  </r>
  <r>
    <n v="1244"/>
    <x v="345"/>
    <x v="10"/>
    <x v="1"/>
    <x v="1243"/>
    <x v="0"/>
    <x v="20"/>
    <x v="2"/>
    <n v="4"/>
    <n v="112"/>
    <n v="448"/>
    <x v="1"/>
  </r>
  <r>
    <n v="1245"/>
    <x v="369"/>
    <x v="9"/>
    <x v="1"/>
    <x v="1244"/>
    <x v="0"/>
    <x v="39"/>
    <x v="0"/>
    <n v="2"/>
    <n v="429"/>
    <n v="858"/>
    <x v="1"/>
  </r>
  <r>
    <n v="1246"/>
    <x v="522"/>
    <x v="0"/>
    <x v="1"/>
    <x v="1245"/>
    <x v="0"/>
    <x v="42"/>
    <x v="0"/>
    <n v="2"/>
    <n v="69"/>
    <n v="138"/>
    <x v="0"/>
  </r>
  <r>
    <n v="1247"/>
    <x v="523"/>
    <x v="5"/>
    <x v="1"/>
    <x v="1246"/>
    <x v="1"/>
    <x v="4"/>
    <x v="0"/>
    <n v="4"/>
    <n v="453"/>
    <n v="1812"/>
    <x v="2"/>
  </r>
  <r>
    <n v="1248"/>
    <x v="524"/>
    <x v="2"/>
    <x v="1"/>
    <x v="1247"/>
    <x v="1"/>
    <x v="3"/>
    <x v="0"/>
    <n v="4"/>
    <n v="401"/>
    <n v="1604"/>
    <x v="2"/>
  </r>
  <r>
    <n v="1249"/>
    <x v="377"/>
    <x v="4"/>
    <x v="1"/>
    <x v="1248"/>
    <x v="0"/>
    <x v="31"/>
    <x v="2"/>
    <n v="2"/>
    <n v="481"/>
    <n v="962"/>
    <x v="1"/>
  </r>
  <r>
    <n v="1250"/>
    <x v="399"/>
    <x v="7"/>
    <x v="1"/>
    <x v="1249"/>
    <x v="0"/>
    <x v="42"/>
    <x v="1"/>
    <n v="4"/>
    <n v="47"/>
    <n v="188"/>
    <x v="2"/>
  </r>
  <r>
    <n v="1251"/>
    <x v="394"/>
    <x v="6"/>
    <x v="1"/>
    <x v="1250"/>
    <x v="1"/>
    <x v="46"/>
    <x v="0"/>
    <n v="1"/>
    <n v="242"/>
    <n v="242"/>
    <x v="0"/>
  </r>
  <r>
    <n v="1252"/>
    <x v="525"/>
    <x v="3"/>
    <x v="1"/>
    <x v="1251"/>
    <x v="1"/>
    <x v="40"/>
    <x v="0"/>
    <n v="1"/>
    <n v="256"/>
    <n v="256"/>
    <x v="2"/>
  </r>
  <r>
    <n v="1253"/>
    <x v="526"/>
    <x v="3"/>
    <x v="1"/>
    <x v="1252"/>
    <x v="0"/>
    <x v="16"/>
    <x v="0"/>
    <n v="1"/>
    <n v="379"/>
    <n v="379"/>
    <x v="2"/>
  </r>
  <r>
    <n v="1254"/>
    <x v="527"/>
    <x v="5"/>
    <x v="1"/>
    <x v="1253"/>
    <x v="0"/>
    <x v="43"/>
    <x v="2"/>
    <n v="3"/>
    <n v="147"/>
    <n v="441"/>
    <x v="2"/>
  </r>
  <r>
    <n v="1255"/>
    <x v="490"/>
    <x v="0"/>
    <x v="1"/>
    <x v="1254"/>
    <x v="0"/>
    <x v="0"/>
    <x v="2"/>
    <n v="3"/>
    <n v="107"/>
    <n v="321"/>
    <x v="0"/>
  </r>
  <r>
    <n v="1256"/>
    <x v="465"/>
    <x v="8"/>
    <x v="1"/>
    <x v="1255"/>
    <x v="1"/>
    <x v="42"/>
    <x v="0"/>
    <n v="1"/>
    <n v="257"/>
    <n v="257"/>
    <x v="0"/>
  </r>
  <r>
    <n v="1257"/>
    <x v="528"/>
    <x v="2"/>
    <x v="1"/>
    <x v="1256"/>
    <x v="0"/>
    <x v="23"/>
    <x v="2"/>
    <n v="2"/>
    <n v="429"/>
    <n v="858"/>
    <x v="2"/>
  </r>
  <r>
    <n v="1258"/>
    <x v="510"/>
    <x v="5"/>
    <x v="1"/>
    <x v="1257"/>
    <x v="1"/>
    <x v="23"/>
    <x v="0"/>
    <n v="1"/>
    <n v="465"/>
    <n v="465"/>
    <x v="2"/>
  </r>
  <r>
    <n v="1259"/>
    <x v="529"/>
    <x v="0"/>
    <x v="1"/>
    <x v="1258"/>
    <x v="0"/>
    <x v="29"/>
    <x v="0"/>
    <n v="3"/>
    <n v="296"/>
    <n v="888"/>
    <x v="0"/>
  </r>
  <r>
    <n v="1260"/>
    <x v="431"/>
    <x v="6"/>
    <x v="1"/>
    <x v="1259"/>
    <x v="1"/>
    <x v="28"/>
    <x v="2"/>
    <n v="2"/>
    <n v="428"/>
    <n v="856"/>
    <x v="0"/>
  </r>
  <r>
    <n v="1261"/>
    <x v="530"/>
    <x v="8"/>
    <x v="1"/>
    <x v="1260"/>
    <x v="0"/>
    <x v="35"/>
    <x v="2"/>
    <n v="1"/>
    <n v="288"/>
    <n v="288"/>
    <x v="0"/>
  </r>
  <r>
    <n v="1262"/>
    <x v="446"/>
    <x v="8"/>
    <x v="1"/>
    <x v="1261"/>
    <x v="1"/>
    <x v="21"/>
    <x v="1"/>
    <n v="4"/>
    <n v="212"/>
    <n v="848"/>
    <x v="0"/>
  </r>
  <r>
    <n v="1263"/>
    <x v="373"/>
    <x v="2"/>
    <x v="1"/>
    <x v="1262"/>
    <x v="0"/>
    <x v="37"/>
    <x v="2"/>
    <n v="2"/>
    <n v="356"/>
    <n v="712"/>
    <x v="2"/>
  </r>
  <r>
    <n v="1264"/>
    <x v="442"/>
    <x v="7"/>
    <x v="1"/>
    <x v="1263"/>
    <x v="0"/>
    <x v="2"/>
    <x v="0"/>
    <n v="2"/>
    <n v="95"/>
    <n v="190"/>
    <x v="2"/>
  </r>
  <r>
    <n v="1265"/>
    <x v="521"/>
    <x v="9"/>
    <x v="1"/>
    <x v="1264"/>
    <x v="0"/>
    <x v="6"/>
    <x v="1"/>
    <n v="4"/>
    <n v="402"/>
    <n v="1608"/>
    <x v="1"/>
  </r>
  <r>
    <n v="1266"/>
    <x v="531"/>
    <x v="7"/>
    <x v="1"/>
    <x v="1265"/>
    <x v="0"/>
    <x v="9"/>
    <x v="2"/>
    <n v="3"/>
    <n v="484"/>
    <n v="1452"/>
    <x v="2"/>
  </r>
  <r>
    <n v="1267"/>
    <x v="532"/>
    <x v="4"/>
    <x v="1"/>
    <x v="1266"/>
    <x v="1"/>
    <x v="12"/>
    <x v="1"/>
    <n v="1"/>
    <n v="215"/>
    <n v="215"/>
    <x v="1"/>
  </r>
  <r>
    <n v="1268"/>
    <x v="533"/>
    <x v="9"/>
    <x v="1"/>
    <x v="1267"/>
    <x v="1"/>
    <x v="45"/>
    <x v="0"/>
    <n v="1"/>
    <n v="265"/>
    <n v="265"/>
    <x v="1"/>
  </r>
  <r>
    <n v="1269"/>
    <x v="534"/>
    <x v="8"/>
    <x v="1"/>
    <x v="1268"/>
    <x v="1"/>
    <x v="24"/>
    <x v="0"/>
    <n v="3"/>
    <n v="434"/>
    <n v="1302"/>
    <x v="0"/>
  </r>
  <r>
    <n v="1270"/>
    <x v="413"/>
    <x v="8"/>
    <x v="1"/>
    <x v="1269"/>
    <x v="0"/>
    <x v="27"/>
    <x v="2"/>
    <n v="1"/>
    <n v="66"/>
    <n v="66"/>
    <x v="0"/>
  </r>
  <r>
    <n v="1271"/>
    <x v="499"/>
    <x v="5"/>
    <x v="1"/>
    <x v="1270"/>
    <x v="0"/>
    <x v="39"/>
    <x v="1"/>
    <n v="1"/>
    <n v="109"/>
    <n v="109"/>
    <x v="2"/>
  </r>
  <r>
    <n v="1272"/>
    <x v="491"/>
    <x v="4"/>
    <x v="1"/>
    <x v="1271"/>
    <x v="0"/>
    <x v="11"/>
    <x v="1"/>
    <n v="4"/>
    <n v="102"/>
    <n v="408"/>
    <x v="1"/>
  </r>
  <r>
    <n v="1273"/>
    <x v="392"/>
    <x v="1"/>
    <x v="1"/>
    <x v="1272"/>
    <x v="0"/>
    <x v="39"/>
    <x v="2"/>
    <n v="2"/>
    <n v="267"/>
    <n v="534"/>
    <x v="1"/>
  </r>
  <r>
    <n v="1274"/>
    <x v="535"/>
    <x v="9"/>
    <x v="1"/>
    <x v="1273"/>
    <x v="1"/>
    <x v="24"/>
    <x v="0"/>
    <n v="1"/>
    <n v="174"/>
    <n v="174"/>
    <x v="1"/>
  </r>
  <r>
    <n v="1275"/>
    <x v="388"/>
    <x v="1"/>
    <x v="1"/>
    <x v="1274"/>
    <x v="0"/>
    <x v="0"/>
    <x v="1"/>
    <n v="3"/>
    <n v="235"/>
    <n v="705"/>
    <x v="1"/>
  </r>
  <r>
    <n v="1276"/>
    <x v="414"/>
    <x v="7"/>
    <x v="1"/>
    <x v="1275"/>
    <x v="1"/>
    <x v="19"/>
    <x v="0"/>
    <n v="3"/>
    <n v="273"/>
    <n v="819"/>
    <x v="2"/>
  </r>
  <r>
    <n v="1277"/>
    <x v="458"/>
    <x v="7"/>
    <x v="1"/>
    <x v="1276"/>
    <x v="1"/>
    <x v="20"/>
    <x v="2"/>
    <n v="2"/>
    <n v="484"/>
    <n v="968"/>
    <x v="2"/>
  </r>
  <r>
    <n v="1278"/>
    <x v="365"/>
    <x v="9"/>
    <x v="1"/>
    <x v="1277"/>
    <x v="0"/>
    <x v="22"/>
    <x v="1"/>
    <n v="4"/>
    <n v="215"/>
    <n v="860"/>
    <x v="1"/>
  </r>
  <r>
    <n v="1279"/>
    <x v="536"/>
    <x v="4"/>
    <x v="1"/>
    <x v="1278"/>
    <x v="0"/>
    <x v="30"/>
    <x v="2"/>
    <n v="3"/>
    <n v="258"/>
    <n v="774"/>
    <x v="1"/>
  </r>
  <r>
    <n v="1280"/>
    <x v="396"/>
    <x v="10"/>
    <x v="1"/>
    <x v="1279"/>
    <x v="0"/>
    <x v="23"/>
    <x v="0"/>
    <n v="3"/>
    <n v="118"/>
    <n v="354"/>
    <x v="1"/>
  </r>
  <r>
    <n v="1281"/>
    <x v="480"/>
    <x v="10"/>
    <x v="1"/>
    <x v="1280"/>
    <x v="0"/>
    <x v="10"/>
    <x v="1"/>
    <n v="1"/>
    <n v="46"/>
    <n v="46"/>
    <x v="1"/>
  </r>
  <r>
    <n v="1282"/>
    <x v="386"/>
    <x v="9"/>
    <x v="1"/>
    <x v="1281"/>
    <x v="0"/>
    <x v="24"/>
    <x v="2"/>
    <n v="3"/>
    <n v="119"/>
    <n v="357"/>
    <x v="1"/>
  </r>
  <r>
    <n v="1283"/>
    <x v="537"/>
    <x v="1"/>
    <x v="1"/>
    <x v="1282"/>
    <x v="0"/>
    <x v="33"/>
    <x v="2"/>
    <n v="3"/>
    <n v="100"/>
    <n v="300"/>
    <x v="1"/>
  </r>
  <r>
    <n v="1284"/>
    <x v="538"/>
    <x v="5"/>
    <x v="1"/>
    <x v="1283"/>
    <x v="1"/>
    <x v="6"/>
    <x v="1"/>
    <n v="3"/>
    <n v="87"/>
    <n v="261"/>
    <x v="2"/>
  </r>
  <r>
    <n v="106"/>
    <x v="96"/>
    <x v="9"/>
    <x v="0"/>
    <x v="1284"/>
    <x v="1"/>
    <x v="46"/>
    <x v="1"/>
    <n v="4"/>
    <n v="495"/>
    <n v="1980"/>
    <x v="1"/>
  </r>
  <r>
    <n v="1286"/>
    <x v="443"/>
    <x v="9"/>
    <x v="1"/>
    <x v="1285"/>
    <x v="0"/>
    <x v="3"/>
    <x v="0"/>
    <n v="3"/>
    <n v="356"/>
    <n v="1068"/>
    <x v="1"/>
  </r>
  <r>
    <n v="1287"/>
    <x v="539"/>
    <x v="8"/>
    <x v="1"/>
    <x v="1286"/>
    <x v="1"/>
    <x v="40"/>
    <x v="2"/>
    <n v="2"/>
    <n v="434"/>
    <n v="868"/>
    <x v="0"/>
  </r>
  <r>
    <n v="1288"/>
    <x v="540"/>
    <x v="7"/>
    <x v="1"/>
    <x v="1287"/>
    <x v="1"/>
    <x v="44"/>
    <x v="0"/>
    <n v="1"/>
    <n v="399"/>
    <n v="399"/>
    <x v="2"/>
  </r>
  <r>
    <n v="1289"/>
    <x v="541"/>
    <x v="3"/>
    <x v="1"/>
    <x v="1288"/>
    <x v="0"/>
    <x v="43"/>
    <x v="0"/>
    <n v="1"/>
    <n v="182"/>
    <n v="182"/>
    <x v="2"/>
  </r>
  <r>
    <n v="1290"/>
    <x v="184"/>
    <x v="6"/>
    <x v="1"/>
    <x v="1289"/>
    <x v="1"/>
    <x v="35"/>
    <x v="1"/>
    <n v="4"/>
    <n v="207"/>
    <n v="828"/>
    <x v="0"/>
  </r>
  <r>
    <n v="1291"/>
    <x v="542"/>
    <x v="11"/>
    <x v="1"/>
    <x v="1290"/>
    <x v="1"/>
    <x v="21"/>
    <x v="0"/>
    <n v="2"/>
    <n v="323"/>
    <n v="646"/>
    <x v="0"/>
  </r>
  <r>
    <n v="1292"/>
    <x v="417"/>
    <x v="3"/>
    <x v="1"/>
    <x v="1291"/>
    <x v="0"/>
    <x v="12"/>
    <x v="1"/>
    <n v="1"/>
    <n v="67"/>
    <n v="67"/>
    <x v="2"/>
  </r>
  <r>
    <n v="1293"/>
    <x v="517"/>
    <x v="7"/>
    <x v="1"/>
    <x v="1292"/>
    <x v="1"/>
    <x v="17"/>
    <x v="0"/>
    <n v="1"/>
    <n v="287"/>
    <n v="287"/>
    <x v="2"/>
  </r>
  <r>
    <n v="1294"/>
    <x v="543"/>
    <x v="5"/>
    <x v="1"/>
    <x v="1293"/>
    <x v="0"/>
    <x v="45"/>
    <x v="2"/>
    <n v="1"/>
    <n v="490"/>
    <n v="490"/>
    <x v="2"/>
  </r>
  <r>
    <n v="1295"/>
    <x v="544"/>
    <x v="8"/>
    <x v="1"/>
    <x v="1294"/>
    <x v="1"/>
    <x v="13"/>
    <x v="1"/>
    <n v="4"/>
    <n v="214"/>
    <n v="856"/>
    <x v="0"/>
  </r>
  <r>
    <n v="1296"/>
    <x v="545"/>
    <x v="5"/>
    <x v="1"/>
    <x v="1295"/>
    <x v="1"/>
    <x v="3"/>
    <x v="2"/>
    <n v="3"/>
    <n v="204"/>
    <n v="612"/>
    <x v="2"/>
  </r>
  <r>
    <n v="1297"/>
    <x v="546"/>
    <x v="9"/>
    <x v="1"/>
    <x v="1296"/>
    <x v="1"/>
    <x v="2"/>
    <x v="1"/>
    <n v="2"/>
    <n v="397"/>
    <n v="794"/>
    <x v="1"/>
  </r>
  <r>
    <n v="1298"/>
    <x v="445"/>
    <x v="2"/>
    <x v="1"/>
    <x v="1297"/>
    <x v="1"/>
    <x v="24"/>
    <x v="2"/>
    <n v="2"/>
    <n v="437"/>
    <n v="874"/>
    <x v="2"/>
  </r>
  <r>
    <n v="1299"/>
    <x v="547"/>
    <x v="2"/>
    <x v="1"/>
    <x v="1298"/>
    <x v="1"/>
    <x v="43"/>
    <x v="0"/>
    <n v="1"/>
    <n v="98"/>
    <n v="98"/>
    <x v="2"/>
  </r>
  <r>
    <n v="1300"/>
    <x v="548"/>
    <x v="1"/>
    <x v="1"/>
    <x v="1299"/>
    <x v="1"/>
    <x v="40"/>
    <x v="0"/>
    <n v="3"/>
    <n v="58"/>
    <n v="174"/>
    <x v="1"/>
  </r>
  <r>
    <n v="1301"/>
    <x v="399"/>
    <x v="7"/>
    <x v="1"/>
    <x v="1300"/>
    <x v="1"/>
    <x v="16"/>
    <x v="1"/>
    <n v="4"/>
    <n v="352"/>
    <n v="1408"/>
    <x v="2"/>
  </r>
  <r>
    <n v="1302"/>
    <x v="549"/>
    <x v="4"/>
    <x v="1"/>
    <x v="1301"/>
    <x v="1"/>
    <x v="36"/>
    <x v="0"/>
    <n v="4"/>
    <n v="388"/>
    <n v="1552"/>
    <x v="1"/>
  </r>
  <r>
    <n v="1303"/>
    <x v="550"/>
    <x v="7"/>
    <x v="1"/>
    <x v="1302"/>
    <x v="0"/>
    <x v="27"/>
    <x v="1"/>
    <n v="4"/>
    <n v="173"/>
    <n v="692"/>
    <x v="2"/>
  </r>
  <r>
    <n v="1304"/>
    <x v="551"/>
    <x v="7"/>
    <x v="1"/>
    <x v="1303"/>
    <x v="1"/>
    <x v="8"/>
    <x v="2"/>
    <n v="3"/>
    <n v="277"/>
    <n v="831"/>
    <x v="2"/>
  </r>
  <r>
    <n v="1305"/>
    <x v="442"/>
    <x v="7"/>
    <x v="1"/>
    <x v="1304"/>
    <x v="1"/>
    <x v="9"/>
    <x v="1"/>
    <n v="1"/>
    <n v="103"/>
    <n v="103"/>
    <x v="2"/>
  </r>
  <r>
    <n v="1306"/>
    <x v="552"/>
    <x v="4"/>
    <x v="1"/>
    <x v="1305"/>
    <x v="1"/>
    <x v="7"/>
    <x v="0"/>
    <n v="4"/>
    <n v="88"/>
    <n v="352"/>
    <x v="1"/>
  </r>
  <r>
    <n v="1307"/>
    <x v="384"/>
    <x v="0"/>
    <x v="1"/>
    <x v="1306"/>
    <x v="1"/>
    <x v="38"/>
    <x v="1"/>
    <n v="4"/>
    <n v="489"/>
    <n v="1956"/>
    <x v="0"/>
  </r>
  <r>
    <n v="1308"/>
    <x v="272"/>
    <x v="8"/>
    <x v="1"/>
    <x v="1307"/>
    <x v="0"/>
    <x v="0"/>
    <x v="1"/>
    <n v="3"/>
    <n v="277"/>
    <n v="831"/>
    <x v="0"/>
  </r>
  <r>
    <n v="1309"/>
    <x v="422"/>
    <x v="11"/>
    <x v="1"/>
    <x v="1308"/>
    <x v="1"/>
    <x v="15"/>
    <x v="2"/>
    <n v="4"/>
    <n v="469"/>
    <n v="1876"/>
    <x v="0"/>
  </r>
  <r>
    <n v="1310"/>
    <x v="553"/>
    <x v="4"/>
    <x v="1"/>
    <x v="1309"/>
    <x v="1"/>
    <x v="11"/>
    <x v="1"/>
    <n v="3"/>
    <n v="287"/>
    <n v="861"/>
    <x v="1"/>
  </r>
  <r>
    <n v="1311"/>
    <x v="554"/>
    <x v="7"/>
    <x v="1"/>
    <x v="1310"/>
    <x v="0"/>
    <x v="22"/>
    <x v="1"/>
    <n v="1"/>
    <n v="99"/>
    <n v="99"/>
    <x v="2"/>
  </r>
  <r>
    <n v="1312"/>
    <x v="443"/>
    <x v="9"/>
    <x v="1"/>
    <x v="1311"/>
    <x v="1"/>
    <x v="11"/>
    <x v="1"/>
    <n v="3"/>
    <n v="108"/>
    <n v="324"/>
    <x v="1"/>
  </r>
  <r>
    <n v="1313"/>
    <x v="368"/>
    <x v="6"/>
    <x v="1"/>
    <x v="1312"/>
    <x v="1"/>
    <x v="37"/>
    <x v="2"/>
    <n v="3"/>
    <n v="49"/>
    <n v="147"/>
    <x v="0"/>
  </r>
  <r>
    <n v="1314"/>
    <x v="419"/>
    <x v="4"/>
    <x v="1"/>
    <x v="1313"/>
    <x v="1"/>
    <x v="18"/>
    <x v="0"/>
    <n v="1"/>
    <n v="288"/>
    <n v="288"/>
    <x v="1"/>
  </r>
  <r>
    <n v="1315"/>
    <x v="555"/>
    <x v="1"/>
    <x v="1"/>
    <x v="1314"/>
    <x v="0"/>
    <x v="1"/>
    <x v="0"/>
    <n v="2"/>
    <n v="303"/>
    <n v="606"/>
    <x v="1"/>
  </r>
  <r>
    <n v="1316"/>
    <x v="556"/>
    <x v="9"/>
    <x v="1"/>
    <x v="1315"/>
    <x v="1"/>
    <x v="17"/>
    <x v="2"/>
    <n v="3"/>
    <n v="375"/>
    <n v="1125"/>
    <x v="1"/>
  </r>
  <r>
    <n v="1317"/>
    <x v="360"/>
    <x v="8"/>
    <x v="1"/>
    <x v="1316"/>
    <x v="1"/>
    <x v="1"/>
    <x v="0"/>
    <n v="3"/>
    <n v="446"/>
    <n v="1338"/>
    <x v="0"/>
  </r>
  <r>
    <n v="1318"/>
    <x v="557"/>
    <x v="10"/>
    <x v="1"/>
    <x v="1317"/>
    <x v="0"/>
    <x v="43"/>
    <x v="0"/>
    <n v="3"/>
    <n v="215"/>
    <n v="645"/>
    <x v="1"/>
  </r>
  <r>
    <n v="1319"/>
    <x v="558"/>
    <x v="3"/>
    <x v="1"/>
    <x v="1318"/>
    <x v="1"/>
    <x v="44"/>
    <x v="1"/>
    <n v="1"/>
    <n v="136"/>
    <n v="136"/>
    <x v="2"/>
  </r>
  <r>
    <n v="1320"/>
    <x v="426"/>
    <x v="10"/>
    <x v="1"/>
    <x v="1319"/>
    <x v="0"/>
    <x v="27"/>
    <x v="0"/>
    <n v="1"/>
    <n v="238"/>
    <n v="238"/>
    <x v="1"/>
  </r>
  <r>
    <n v="1321"/>
    <x v="559"/>
    <x v="2"/>
    <x v="1"/>
    <x v="1320"/>
    <x v="0"/>
    <x v="41"/>
    <x v="1"/>
    <n v="1"/>
    <n v="270"/>
    <n v="270"/>
    <x v="2"/>
  </r>
  <r>
    <n v="1322"/>
    <x v="452"/>
    <x v="9"/>
    <x v="1"/>
    <x v="1321"/>
    <x v="1"/>
    <x v="11"/>
    <x v="2"/>
    <n v="2"/>
    <n v="443"/>
    <n v="886"/>
    <x v="1"/>
  </r>
  <r>
    <n v="1323"/>
    <x v="560"/>
    <x v="2"/>
    <x v="1"/>
    <x v="1322"/>
    <x v="1"/>
    <x v="36"/>
    <x v="0"/>
    <n v="3"/>
    <n v="39"/>
    <n v="117"/>
    <x v="2"/>
  </r>
  <r>
    <n v="1324"/>
    <x v="504"/>
    <x v="10"/>
    <x v="1"/>
    <x v="1323"/>
    <x v="0"/>
    <x v="43"/>
    <x v="0"/>
    <n v="2"/>
    <n v="377"/>
    <n v="754"/>
    <x v="1"/>
  </r>
  <r>
    <n v="1325"/>
    <x v="561"/>
    <x v="1"/>
    <x v="1"/>
    <x v="1324"/>
    <x v="1"/>
    <x v="43"/>
    <x v="1"/>
    <n v="2"/>
    <n v="65"/>
    <n v="130"/>
    <x v="1"/>
  </r>
  <r>
    <n v="1326"/>
    <x v="547"/>
    <x v="2"/>
    <x v="1"/>
    <x v="1325"/>
    <x v="0"/>
    <x v="25"/>
    <x v="1"/>
    <n v="4"/>
    <n v="412"/>
    <n v="1648"/>
    <x v="2"/>
  </r>
  <r>
    <n v="1327"/>
    <x v="562"/>
    <x v="2"/>
    <x v="1"/>
    <x v="1326"/>
    <x v="0"/>
    <x v="27"/>
    <x v="1"/>
    <n v="1"/>
    <n v="431"/>
    <n v="431"/>
    <x v="2"/>
  </r>
  <r>
    <n v="1328"/>
    <x v="374"/>
    <x v="8"/>
    <x v="1"/>
    <x v="1327"/>
    <x v="0"/>
    <x v="40"/>
    <x v="1"/>
    <n v="3"/>
    <n v="47"/>
    <n v="141"/>
    <x v="0"/>
  </r>
  <r>
    <n v="1329"/>
    <x v="455"/>
    <x v="11"/>
    <x v="1"/>
    <x v="1328"/>
    <x v="1"/>
    <x v="33"/>
    <x v="1"/>
    <n v="1"/>
    <n v="425"/>
    <n v="425"/>
    <x v="0"/>
  </r>
  <r>
    <n v="1330"/>
    <x v="563"/>
    <x v="10"/>
    <x v="1"/>
    <x v="1329"/>
    <x v="0"/>
    <x v="15"/>
    <x v="1"/>
    <n v="2"/>
    <n v="368"/>
    <n v="736"/>
    <x v="1"/>
  </r>
  <r>
    <n v="1331"/>
    <x v="564"/>
    <x v="9"/>
    <x v="1"/>
    <x v="1330"/>
    <x v="0"/>
    <x v="16"/>
    <x v="1"/>
    <n v="3"/>
    <n v="321"/>
    <n v="963"/>
    <x v="1"/>
  </r>
  <r>
    <n v="1332"/>
    <x v="452"/>
    <x v="9"/>
    <x v="1"/>
    <x v="1331"/>
    <x v="1"/>
    <x v="10"/>
    <x v="0"/>
    <n v="2"/>
    <n v="283"/>
    <n v="566"/>
    <x v="1"/>
  </r>
  <r>
    <n v="1333"/>
    <x v="424"/>
    <x v="7"/>
    <x v="1"/>
    <x v="1332"/>
    <x v="0"/>
    <x v="1"/>
    <x v="0"/>
    <n v="1"/>
    <n v="295"/>
    <n v="295"/>
    <x v="2"/>
  </r>
  <r>
    <n v="1334"/>
    <x v="460"/>
    <x v="1"/>
    <x v="1"/>
    <x v="1333"/>
    <x v="0"/>
    <x v="39"/>
    <x v="1"/>
    <n v="1"/>
    <n v="396"/>
    <n v="396"/>
    <x v="1"/>
  </r>
  <r>
    <n v="1335"/>
    <x v="485"/>
    <x v="11"/>
    <x v="1"/>
    <x v="1334"/>
    <x v="0"/>
    <x v="26"/>
    <x v="0"/>
    <n v="4"/>
    <n v="212"/>
    <n v="848"/>
    <x v="0"/>
  </r>
  <r>
    <n v="1336"/>
    <x v="360"/>
    <x v="8"/>
    <x v="1"/>
    <x v="1335"/>
    <x v="0"/>
    <x v="24"/>
    <x v="0"/>
    <n v="1"/>
    <n v="117"/>
    <n v="117"/>
    <x v="0"/>
  </r>
  <r>
    <n v="1337"/>
    <x v="428"/>
    <x v="9"/>
    <x v="1"/>
    <x v="1336"/>
    <x v="1"/>
    <x v="28"/>
    <x v="1"/>
    <n v="2"/>
    <n v="233"/>
    <n v="466"/>
    <x v="1"/>
  </r>
  <r>
    <n v="1338"/>
    <x v="451"/>
    <x v="11"/>
    <x v="1"/>
    <x v="1337"/>
    <x v="1"/>
    <x v="41"/>
    <x v="2"/>
    <n v="1"/>
    <n v="291"/>
    <n v="291"/>
    <x v="0"/>
  </r>
  <r>
    <n v="1339"/>
    <x v="345"/>
    <x v="10"/>
    <x v="1"/>
    <x v="1338"/>
    <x v="1"/>
    <x v="37"/>
    <x v="0"/>
    <n v="3"/>
    <n v="310"/>
    <n v="930"/>
    <x v="1"/>
  </r>
  <r>
    <n v="1340"/>
    <x v="394"/>
    <x v="6"/>
    <x v="1"/>
    <x v="1339"/>
    <x v="0"/>
    <x v="31"/>
    <x v="2"/>
    <n v="1"/>
    <n v="222"/>
    <n v="222"/>
    <x v="0"/>
  </r>
  <r>
    <n v="1341"/>
    <x v="565"/>
    <x v="4"/>
    <x v="1"/>
    <x v="1340"/>
    <x v="1"/>
    <x v="32"/>
    <x v="0"/>
    <n v="3"/>
    <n v="376"/>
    <n v="1128"/>
    <x v="1"/>
  </r>
  <r>
    <n v="1342"/>
    <x v="445"/>
    <x v="2"/>
    <x v="1"/>
    <x v="1341"/>
    <x v="0"/>
    <x v="2"/>
    <x v="2"/>
    <n v="3"/>
    <n v="462"/>
    <n v="1386"/>
    <x v="2"/>
  </r>
  <r>
    <n v="1343"/>
    <x v="566"/>
    <x v="2"/>
    <x v="1"/>
    <x v="1342"/>
    <x v="0"/>
    <x v="25"/>
    <x v="2"/>
    <n v="3"/>
    <n v="116"/>
    <n v="348"/>
    <x v="2"/>
  </r>
  <r>
    <n v="1344"/>
    <x v="567"/>
    <x v="6"/>
    <x v="1"/>
    <x v="1343"/>
    <x v="1"/>
    <x v="17"/>
    <x v="1"/>
    <n v="4"/>
    <n v="249"/>
    <n v="996"/>
    <x v="0"/>
  </r>
  <r>
    <n v="1345"/>
    <x v="371"/>
    <x v="3"/>
    <x v="1"/>
    <x v="1344"/>
    <x v="0"/>
    <x v="41"/>
    <x v="1"/>
    <n v="4"/>
    <n v="230"/>
    <n v="920"/>
    <x v="2"/>
  </r>
  <r>
    <n v="1346"/>
    <x v="512"/>
    <x v="8"/>
    <x v="1"/>
    <x v="1345"/>
    <x v="0"/>
    <x v="10"/>
    <x v="1"/>
    <n v="3"/>
    <n v="126"/>
    <n v="378"/>
    <x v="0"/>
  </r>
  <r>
    <n v="1347"/>
    <x v="425"/>
    <x v="9"/>
    <x v="1"/>
    <x v="1346"/>
    <x v="0"/>
    <x v="32"/>
    <x v="2"/>
    <n v="1"/>
    <n v="144"/>
    <n v="144"/>
    <x v="1"/>
  </r>
  <r>
    <n v="1348"/>
    <x v="547"/>
    <x v="2"/>
    <x v="1"/>
    <x v="1347"/>
    <x v="1"/>
    <x v="12"/>
    <x v="0"/>
    <n v="3"/>
    <n v="412"/>
    <n v="1236"/>
    <x v="2"/>
  </r>
  <r>
    <n v="1349"/>
    <x v="568"/>
    <x v="0"/>
    <x v="1"/>
    <x v="1348"/>
    <x v="1"/>
    <x v="5"/>
    <x v="2"/>
    <n v="4"/>
    <n v="273"/>
    <n v="1092"/>
    <x v="0"/>
  </r>
  <r>
    <n v="1350"/>
    <x v="569"/>
    <x v="3"/>
    <x v="1"/>
    <x v="1349"/>
    <x v="1"/>
    <x v="30"/>
    <x v="2"/>
    <n v="1"/>
    <n v="87"/>
    <n v="87"/>
    <x v="2"/>
  </r>
  <r>
    <n v="1351"/>
    <x v="570"/>
    <x v="4"/>
    <x v="1"/>
    <x v="1350"/>
    <x v="1"/>
    <x v="45"/>
    <x v="1"/>
    <n v="2"/>
    <n v="40"/>
    <n v="80"/>
    <x v="1"/>
  </r>
  <r>
    <n v="1352"/>
    <x v="485"/>
    <x v="11"/>
    <x v="1"/>
    <x v="1351"/>
    <x v="0"/>
    <x v="25"/>
    <x v="2"/>
    <n v="1"/>
    <n v="116"/>
    <n v="116"/>
    <x v="0"/>
  </r>
  <r>
    <n v="1353"/>
    <x v="382"/>
    <x v="5"/>
    <x v="1"/>
    <x v="1352"/>
    <x v="1"/>
    <x v="30"/>
    <x v="2"/>
    <n v="1"/>
    <n v="414"/>
    <n v="414"/>
    <x v="2"/>
  </r>
  <r>
    <n v="1354"/>
    <x v="571"/>
    <x v="11"/>
    <x v="1"/>
    <x v="1353"/>
    <x v="1"/>
    <x v="20"/>
    <x v="1"/>
    <n v="3"/>
    <n v="363"/>
    <n v="1089"/>
    <x v="0"/>
  </r>
  <r>
    <n v="1355"/>
    <x v="572"/>
    <x v="3"/>
    <x v="1"/>
    <x v="1354"/>
    <x v="1"/>
    <x v="26"/>
    <x v="2"/>
    <n v="3"/>
    <n v="439"/>
    <n v="1317"/>
    <x v="2"/>
  </r>
  <r>
    <n v="1356"/>
    <x v="355"/>
    <x v="7"/>
    <x v="1"/>
    <x v="1355"/>
    <x v="0"/>
    <x v="8"/>
    <x v="2"/>
    <n v="1"/>
    <n v="221"/>
    <n v="221"/>
    <x v="2"/>
  </r>
  <r>
    <n v="1357"/>
    <x v="573"/>
    <x v="2"/>
    <x v="1"/>
    <x v="1356"/>
    <x v="1"/>
    <x v="29"/>
    <x v="2"/>
    <n v="4"/>
    <n v="43"/>
    <n v="172"/>
    <x v="2"/>
  </r>
  <r>
    <n v="1358"/>
    <x v="431"/>
    <x v="6"/>
    <x v="1"/>
    <x v="1357"/>
    <x v="0"/>
    <x v="2"/>
    <x v="0"/>
    <n v="3"/>
    <n v="477"/>
    <n v="1431"/>
    <x v="0"/>
  </r>
  <r>
    <n v="1359"/>
    <x v="539"/>
    <x v="8"/>
    <x v="1"/>
    <x v="1358"/>
    <x v="0"/>
    <x v="45"/>
    <x v="2"/>
    <n v="2"/>
    <n v="184"/>
    <n v="368"/>
    <x v="0"/>
  </r>
  <r>
    <n v="1360"/>
    <x v="574"/>
    <x v="5"/>
    <x v="1"/>
    <x v="1359"/>
    <x v="1"/>
    <x v="41"/>
    <x v="0"/>
    <n v="4"/>
    <n v="362"/>
    <n v="1448"/>
    <x v="2"/>
  </r>
  <r>
    <n v="1361"/>
    <x v="551"/>
    <x v="7"/>
    <x v="1"/>
    <x v="1360"/>
    <x v="1"/>
    <x v="40"/>
    <x v="0"/>
    <n v="2"/>
    <n v="284"/>
    <n v="568"/>
    <x v="2"/>
  </r>
  <r>
    <n v="1362"/>
    <x v="352"/>
    <x v="6"/>
    <x v="1"/>
    <x v="1361"/>
    <x v="1"/>
    <x v="22"/>
    <x v="2"/>
    <n v="4"/>
    <n v="340"/>
    <n v="1360"/>
    <x v="0"/>
  </r>
  <r>
    <n v="1363"/>
    <x v="575"/>
    <x v="8"/>
    <x v="1"/>
    <x v="1362"/>
    <x v="1"/>
    <x v="39"/>
    <x v="2"/>
    <n v="1"/>
    <n v="39"/>
    <n v="39"/>
    <x v="0"/>
  </r>
  <r>
    <n v="1364"/>
    <x v="399"/>
    <x v="7"/>
    <x v="1"/>
    <x v="1363"/>
    <x v="0"/>
    <x v="43"/>
    <x v="2"/>
    <n v="3"/>
    <n v="439"/>
    <n v="1317"/>
    <x v="2"/>
  </r>
  <r>
    <n v="1365"/>
    <x v="463"/>
    <x v="7"/>
    <x v="1"/>
    <x v="1364"/>
    <x v="0"/>
    <x v="7"/>
    <x v="2"/>
    <n v="4"/>
    <n v="74"/>
    <n v="296"/>
    <x v="2"/>
  </r>
  <r>
    <n v="1366"/>
    <x v="566"/>
    <x v="2"/>
    <x v="1"/>
    <x v="1365"/>
    <x v="1"/>
    <x v="5"/>
    <x v="2"/>
    <n v="3"/>
    <n v="53"/>
    <n v="159"/>
    <x v="2"/>
  </r>
  <r>
    <n v="1367"/>
    <x v="576"/>
    <x v="8"/>
    <x v="1"/>
    <x v="1366"/>
    <x v="0"/>
    <x v="14"/>
    <x v="1"/>
    <n v="3"/>
    <n v="328"/>
    <n v="984"/>
    <x v="0"/>
  </r>
  <r>
    <n v="1368"/>
    <x v="577"/>
    <x v="11"/>
    <x v="1"/>
    <x v="1367"/>
    <x v="0"/>
    <x v="34"/>
    <x v="1"/>
    <n v="3"/>
    <n v="111"/>
    <n v="333"/>
    <x v="0"/>
  </r>
  <r>
    <n v="1369"/>
    <x v="578"/>
    <x v="6"/>
    <x v="1"/>
    <x v="1368"/>
    <x v="1"/>
    <x v="8"/>
    <x v="2"/>
    <n v="4"/>
    <n v="315"/>
    <n v="1260"/>
    <x v="0"/>
  </r>
  <r>
    <n v="1370"/>
    <x v="579"/>
    <x v="3"/>
    <x v="1"/>
    <x v="1369"/>
    <x v="1"/>
    <x v="12"/>
    <x v="1"/>
    <n v="4"/>
    <n v="326"/>
    <n v="1304"/>
    <x v="2"/>
  </r>
  <r>
    <n v="1371"/>
    <x v="580"/>
    <x v="6"/>
    <x v="1"/>
    <x v="1370"/>
    <x v="1"/>
    <x v="29"/>
    <x v="0"/>
    <n v="4"/>
    <n v="190"/>
    <n v="760"/>
    <x v="0"/>
  </r>
  <r>
    <n v="1372"/>
    <x v="581"/>
    <x v="7"/>
    <x v="1"/>
    <x v="1371"/>
    <x v="0"/>
    <x v="45"/>
    <x v="1"/>
    <n v="2"/>
    <n v="197"/>
    <n v="394"/>
    <x v="2"/>
  </r>
  <r>
    <n v="1373"/>
    <x v="572"/>
    <x v="3"/>
    <x v="1"/>
    <x v="1372"/>
    <x v="1"/>
    <x v="10"/>
    <x v="0"/>
    <n v="3"/>
    <n v="211"/>
    <n v="633"/>
    <x v="2"/>
  </r>
  <r>
    <n v="1374"/>
    <x v="500"/>
    <x v="2"/>
    <x v="1"/>
    <x v="1373"/>
    <x v="0"/>
    <x v="45"/>
    <x v="0"/>
    <n v="1"/>
    <n v="455"/>
    <n v="455"/>
    <x v="2"/>
  </r>
  <r>
    <n v="1375"/>
    <x v="427"/>
    <x v="7"/>
    <x v="1"/>
    <x v="1374"/>
    <x v="0"/>
    <x v="39"/>
    <x v="2"/>
    <n v="1"/>
    <n v="177"/>
    <n v="177"/>
    <x v="2"/>
  </r>
  <r>
    <n v="1376"/>
    <x v="581"/>
    <x v="7"/>
    <x v="1"/>
    <x v="1375"/>
    <x v="1"/>
    <x v="9"/>
    <x v="0"/>
    <n v="1"/>
    <n v="392"/>
    <n v="392"/>
    <x v="2"/>
  </r>
  <r>
    <n v="1377"/>
    <x v="414"/>
    <x v="7"/>
    <x v="1"/>
    <x v="1376"/>
    <x v="0"/>
    <x v="15"/>
    <x v="2"/>
    <n v="3"/>
    <n v="59"/>
    <n v="177"/>
    <x v="2"/>
  </r>
  <r>
    <n v="1378"/>
    <x v="550"/>
    <x v="7"/>
    <x v="1"/>
    <x v="1377"/>
    <x v="1"/>
    <x v="28"/>
    <x v="1"/>
    <n v="3"/>
    <n v="432"/>
    <n v="1296"/>
    <x v="2"/>
  </r>
  <r>
    <n v="1379"/>
    <x v="571"/>
    <x v="11"/>
    <x v="1"/>
    <x v="1378"/>
    <x v="1"/>
    <x v="26"/>
    <x v="2"/>
    <n v="4"/>
    <n v="364"/>
    <n v="1456"/>
    <x v="0"/>
  </r>
  <r>
    <n v="1380"/>
    <x v="355"/>
    <x v="7"/>
    <x v="1"/>
    <x v="1379"/>
    <x v="1"/>
    <x v="27"/>
    <x v="2"/>
    <n v="4"/>
    <n v="153"/>
    <n v="612"/>
    <x v="2"/>
  </r>
  <r>
    <n v="1381"/>
    <x v="582"/>
    <x v="0"/>
    <x v="1"/>
    <x v="1380"/>
    <x v="1"/>
    <x v="33"/>
    <x v="0"/>
    <n v="2"/>
    <n v="476"/>
    <n v="952"/>
    <x v="0"/>
  </r>
  <r>
    <n v="1382"/>
    <x v="583"/>
    <x v="6"/>
    <x v="1"/>
    <x v="1381"/>
    <x v="0"/>
    <x v="42"/>
    <x v="2"/>
    <n v="2"/>
    <n v="363"/>
    <n v="726"/>
    <x v="0"/>
  </r>
  <r>
    <n v="1383"/>
    <x v="584"/>
    <x v="2"/>
    <x v="1"/>
    <x v="1382"/>
    <x v="1"/>
    <x v="7"/>
    <x v="0"/>
    <n v="4"/>
    <n v="314"/>
    <n v="1256"/>
    <x v="2"/>
  </r>
  <r>
    <n v="1384"/>
    <x v="379"/>
    <x v="0"/>
    <x v="1"/>
    <x v="1383"/>
    <x v="0"/>
    <x v="18"/>
    <x v="1"/>
    <n v="3"/>
    <n v="261"/>
    <n v="783"/>
    <x v="0"/>
  </r>
  <r>
    <n v="1385"/>
    <x v="461"/>
    <x v="10"/>
    <x v="1"/>
    <x v="1384"/>
    <x v="0"/>
    <x v="30"/>
    <x v="0"/>
    <n v="3"/>
    <n v="457"/>
    <n v="1371"/>
    <x v="1"/>
  </r>
  <r>
    <n v="1386"/>
    <x v="456"/>
    <x v="2"/>
    <x v="1"/>
    <x v="1385"/>
    <x v="1"/>
    <x v="31"/>
    <x v="1"/>
    <n v="2"/>
    <n v="458"/>
    <n v="916"/>
    <x v="2"/>
  </r>
  <r>
    <n v="1387"/>
    <x v="387"/>
    <x v="5"/>
    <x v="1"/>
    <x v="1386"/>
    <x v="1"/>
    <x v="39"/>
    <x v="0"/>
    <n v="2"/>
    <n v="156"/>
    <n v="312"/>
    <x v="2"/>
  </r>
  <r>
    <n v="1388"/>
    <x v="585"/>
    <x v="8"/>
    <x v="1"/>
    <x v="1387"/>
    <x v="0"/>
    <x v="13"/>
    <x v="1"/>
    <n v="1"/>
    <n v="101"/>
    <n v="101"/>
    <x v="0"/>
  </r>
  <r>
    <n v="1389"/>
    <x v="489"/>
    <x v="1"/>
    <x v="1"/>
    <x v="1388"/>
    <x v="0"/>
    <x v="14"/>
    <x v="2"/>
    <n v="4"/>
    <n v="273"/>
    <n v="1092"/>
    <x v="1"/>
  </r>
  <r>
    <n v="1390"/>
    <x v="442"/>
    <x v="7"/>
    <x v="1"/>
    <x v="1389"/>
    <x v="1"/>
    <x v="28"/>
    <x v="0"/>
    <n v="1"/>
    <n v="128"/>
    <n v="128"/>
    <x v="2"/>
  </r>
  <r>
    <n v="1391"/>
    <x v="586"/>
    <x v="10"/>
    <x v="1"/>
    <x v="1390"/>
    <x v="1"/>
    <x v="43"/>
    <x v="1"/>
    <n v="3"/>
    <n v="429"/>
    <n v="1287"/>
    <x v="1"/>
  </r>
  <r>
    <n v="1392"/>
    <x v="587"/>
    <x v="4"/>
    <x v="1"/>
    <x v="1391"/>
    <x v="0"/>
    <x v="19"/>
    <x v="1"/>
    <n v="4"/>
    <n v="425"/>
    <n v="1700"/>
    <x v="1"/>
  </r>
  <r>
    <n v="1393"/>
    <x v="578"/>
    <x v="6"/>
    <x v="1"/>
    <x v="1392"/>
    <x v="0"/>
    <x v="16"/>
    <x v="2"/>
    <n v="3"/>
    <n v="468"/>
    <n v="1404"/>
    <x v="0"/>
  </r>
  <r>
    <n v="1394"/>
    <x v="588"/>
    <x v="11"/>
    <x v="1"/>
    <x v="1393"/>
    <x v="1"/>
    <x v="37"/>
    <x v="0"/>
    <n v="1"/>
    <n v="228"/>
    <n v="228"/>
    <x v="0"/>
  </r>
  <r>
    <n v="1395"/>
    <x v="466"/>
    <x v="10"/>
    <x v="1"/>
    <x v="1394"/>
    <x v="0"/>
    <x v="41"/>
    <x v="0"/>
    <n v="1"/>
    <n v="292"/>
    <n v="292"/>
    <x v="1"/>
  </r>
  <r>
    <n v="1396"/>
    <x v="498"/>
    <x v="8"/>
    <x v="1"/>
    <x v="1395"/>
    <x v="1"/>
    <x v="45"/>
    <x v="1"/>
    <n v="2"/>
    <n v="332"/>
    <n v="664"/>
    <x v="0"/>
  </r>
  <r>
    <n v="1397"/>
    <x v="589"/>
    <x v="10"/>
    <x v="1"/>
    <x v="1396"/>
    <x v="1"/>
    <x v="44"/>
    <x v="0"/>
    <n v="4"/>
    <n v="437"/>
    <n v="1748"/>
    <x v="1"/>
  </r>
  <r>
    <n v="1398"/>
    <x v="514"/>
    <x v="1"/>
    <x v="1"/>
    <x v="1397"/>
    <x v="1"/>
    <x v="4"/>
    <x v="1"/>
    <n v="1"/>
    <n v="114"/>
    <n v="114"/>
    <x v="1"/>
  </r>
  <r>
    <n v="1399"/>
    <x v="509"/>
    <x v="1"/>
    <x v="1"/>
    <x v="1398"/>
    <x v="1"/>
    <x v="24"/>
    <x v="2"/>
    <n v="3"/>
    <n v="466"/>
    <n v="1398"/>
    <x v="1"/>
  </r>
  <r>
    <n v="1400"/>
    <x v="590"/>
    <x v="7"/>
    <x v="1"/>
    <x v="1399"/>
    <x v="0"/>
    <x v="45"/>
    <x v="0"/>
    <n v="3"/>
    <n v="383"/>
    <n v="1149"/>
    <x v="2"/>
  </r>
  <r>
    <n v="1401"/>
    <x v="451"/>
    <x v="11"/>
    <x v="1"/>
    <x v="1400"/>
    <x v="1"/>
    <x v="6"/>
    <x v="2"/>
    <n v="4"/>
    <n v="374"/>
    <n v="1496"/>
    <x v="0"/>
  </r>
  <r>
    <n v="1402"/>
    <x v="377"/>
    <x v="4"/>
    <x v="1"/>
    <x v="1401"/>
    <x v="1"/>
    <x v="30"/>
    <x v="2"/>
    <n v="4"/>
    <n v="391"/>
    <n v="1564"/>
    <x v="1"/>
  </r>
  <r>
    <n v="1403"/>
    <x v="415"/>
    <x v="5"/>
    <x v="1"/>
    <x v="1402"/>
    <x v="1"/>
    <x v="0"/>
    <x v="0"/>
    <n v="1"/>
    <n v="455"/>
    <n v="455"/>
    <x v="2"/>
  </r>
  <r>
    <n v="1404"/>
    <x v="457"/>
    <x v="8"/>
    <x v="1"/>
    <x v="1403"/>
    <x v="0"/>
    <x v="11"/>
    <x v="0"/>
    <n v="2"/>
    <n v="154"/>
    <n v="308"/>
    <x v="0"/>
  </r>
  <r>
    <n v="1405"/>
    <x v="591"/>
    <x v="7"/>
    <x v="1"/>
    <x v="1404"/>
    <x v="1"/>
    <x v="34"/>
    <x v="0"/>
    <n v="3"/>
    <n v="487"/>
    <n v="1461"/>
    <x v="2"/>
  </r>
  <r>
    <n v="1406"/>
    <x v="530"/>
    <x v="8"/>
    <x v="1"/>
    <x v="1405"/>
    <x v="0"/>
    <x v="6"/>
    <x v="1"/>
    <n v="4"/>
    <n v="223"/>
    <n v="892"/>
    <x v="0"/>
  </r>
  <r>
    <n v="1407"/>
    <x v="487"/>
    <x v="6"/>
    <x v="1"/>
    <x v="1406"/>
    <x v="1"/>
    <x v="22"/>
    <x v="2"/>
    <n v="1"/>
    <n v="446"/>
    <n v="446"/>
    <x v="0"/>
  </r>
  <r>
    <n v="1408"/>
    <x v="514"/>
    <x v="1"/>
    <x v="1"/>
    <x v="1407"/>
    <x v="1"/>
    <x v="4"/>
    <x v="1"/>
    <n v="4"/>
    <n v="348"/>
    <n v="1392"/>
    <x v="1"/>
  </r>
  <r>
    <n v="1409"/>
    <x v="386"/>
    <x v="9"/>
    <x v="1"/>
    <x v="1408"/>
    <x v="1"/>
    <x v="8"/>
    <x v="2"/>
    <n v="1"/>
    <n v="446"/>
    <n v="446"/>
    <x v="1"/>
  </r>
  <r>
    <n v="1410"/>
    <x v="592"/>
    <x v="3"/>
    <x v="1"/>
    <x v="1409"/>
    <x v="1"/>
    <x v="38"/>
    <x v="2"/>
    <n v="4"/>
    <n v="473"/>
    <n v="1892"/>
    <x v="2"/>
  </r>
  <r>
    <n v="1411"/>
    <x v="511"/>
    <x v="11"/>
    <x v="1"/>
    <x v="1410"/>
    <x v="0"/>
    <x v="11"/>
    <x v="2"/>
    <n v="1"/>
    <n v="205"/>
    <n v="205"/>
    <x v="0"/>
  </r>
  <r>
    <n v="1412"/>
    <x v="593"/>
    <x v="2"/>
    <x v="1"/>
    <x v="1411"/>
    <x v="1"/>
    <x v="20"/>
    <x v="0"/>
    <n v="1"/>
    <n v="415"/>
    <n v="415"/>
    <x v="2"/>
  </r>
  <r>
    <n v="1413"/>
    <x v="594"/>
    <x v="6"/>
    <x v="1"/>
    <x v="1412"/>
    <x v="0"/>
    <x v="7"/>
    <x v="2"/>
    <n v="2"/>
    <n v="26"/>
    <n v="52"/>
    <x v="0"/>
  </r>
  <r>
    <n v="1414"/>
    <x v="595"/>
    <x v="5"/>
    <x v="1"/>
    <x v="1413"/>
    <x v="0"/>
    <x v="7"/>
    <x v="2"/>
    <n v="3"/>
    <n v="319"/>
    <n v="957"/>
    <x v="2"/>
  </r>
  <r>
    <n v="1415"/>
    <x v="358"/>
    <x v="11"/>
    <x v="1"/>
    <x v="1414"/>
    <x v="0"/>
    <x v="10"/>
    <x v="1"/>
    <n v="2"/>
    <n v="458"/>
    <n v="916"/>
    <x v="0"/>
  </r>
  <r>
    <n v="1416"/>
    <x v="430"/>
    <x v="7"/>
    <x v="1"/>
    <x v="1415"/>
    <x v="1"/>
    <x v="31"/>
    <x v="2"/>
    <n v="4"/>
    <n v="472"/>
    <n v="1888"/>
    <x v="2"/>
  </r>
  <r>
    <n v="1417"/>
    <x v="596"/>
    <x v="10"/>
    <x v="1"/>
    <x v="1416"/>
    <x v="1"/>
    <x v="36"/>
    <x v="0"/>
    <n v="3"/>
    <n v="434"/>
    <n v="1302"/>
    <x v="1"/>
  </r>
  <r>
    <n v="1418"/>
    <x v="597"/>
    <x v="4"/>
    <x v="1"/>
    <x v="1417"/>
    <x v="0"/>
    <x v="16"/>
    <x v="2"/>
    <n v="3"/>
    <n v="118"/>
    <n v="354"/>
    <x v="1"/>
  </r>
  <r>
    <n v="1419"/>
    <x v="543"/>
    <x v="5"/>
    <x v="1"/>
    <x v="1418"/>
    <x v="1"/>
    <x v="42"/>
    <x v="1"/>
    <n v="1"/>
    <n v="36"/>
    <n v="36"/>
    <x v="2"/>
  </r>
  <r>
    <n v="1420"/>
    <x v="598"/>
    <x v="7"/>
    <x v="1"/>
    <x v="1419"/>
    <x v="0"/>
    <x v="16"/>
    <x v="2"/>
    <n v="2"/>
    <n v="159"/>
    <n v="318"/>
    <x v="2"/>
  </r>
  <r>
    <n v="1421"/>
    <x v="599"/>
    <x v="8"/>
    <x v="1"/>
    <x v="1420"/>
    <x v="0"/>
    <x v="21"/>
    <x v="2"/>
    <n v="4"/>
    <n v="332"/>
    <n v="1328"/>
    <x v="0"/>
  </r>
  <r>
    <n v="1422"/>
    <x v="600"/>
    <x v="4"/>
    <x v="1"/>
    <x v="1421"/>
    <x v="0"/>
    <x v="16"/>
    <x v="2"/>
    <n v="2"/>
    <n v="315"/>
    <n v="630"/>
    <x v="1"/>
  </r>
  <r>
    <n v="1423"/>
    <x v="504"/>
    <x v="10"/>
    <x v="1"/>
    <x v="1422"/>
    <x v="0"/>
    <x v="23"/>
    <x v="0"/>
    <n v="4"/>
    <n v="420"/>
    <n v="1680"/>
    <x v="1"/>
  </r>
  <r>
    <n v="1424"/>
    <x v="601"/>
    <x v="2"/>
    <x v="1"/>
    <x v="1423"/>
    <x v="1"/>
    <x v="41"/>
    <x v="1"/>
    <n v="2"/>
    <n v="122"/>
    <n v="244"/>
    <x v="2"/>
  </r>
  <r>
    <n v="1425"/>
    <x v="532"/>
    <x v="4"/>
    <x v="1"/>
    <x v="1424"/>
    <x v="1"/>
    <x v="45"/>
    <x v="2"/>
    <n v="2"/>
    <n v="245"/>
    <n v="490"/>
    <x v="1"/>
  </r>
  <r>
    <n v="1426"/>
    <x v="537"/>
    <x v="1"/>
    <x v="1"/>
    <x v="1425"/>
    <x v="0"/>
    <x v="39"/>
    <x v="0"/>
    <n v="2"/>
    <n v="239"/>
    <n v="478"/>
    <x v="1"/>
  </r>
  <r>
    <n v="1427"/>
    <x v="471"/>
    <x v="1"/>
    <x v="1"/>
    <x v="1426"/>
    <x v="1"/>
    <x v="30"/>
    <x v="1"/>
    <n v="3"/>
    <n v="159"/>
    <n v="477"/>
    <x v="1"/>
  </r>
  <r>
    <n v="1428"/>
    <x v="514"/>
    <x v="1"/>
    <x v="1"/>
    <x v="1427"/>
    <x v="1"/>
    <x v="14"/>
    <x v="2"/>
    <n v="4"/>
    <n v="68"/>
    <n v="272"/>
    <x v="1"/>
  </r>
  <r>
    <n v="1429"/>
    <x v="468"/>
    <x v="6"/>
    <x v="1"/>
    <x v="1428"/>
    <x v="1"/>
    <x v="43"/>
    <x v="2"/>
    <n v="4"/>
    <n v="376"/>
    <n v="1504"/>
    <x v="0"/>
  </r>
  <r>
    <n v="1430"/>
    <x v="602"/>
    <x v="1"/>
    <x v="1"/>
    <x v="1429"/>
    <x v="1"/>
    <x v="23"/>
    <x v="2"/>
    <n v="3"/>
    <n v="62"/>
    <n v="186"/>
    <x v="1"/>
  </r>
  <r>
    <n v="1431"/>
    <x v="603"/>
    <x v="11"/>
    <x v="1"/>
    <x v="1430"/>
    <x v="0"/>
    <x v="21"/>
    <x v="2"/>
    <n v="2"/>
    <n v="266"/>
    <n v="532"/>
    <x v="0"/>
  </r>
  <r>
    <n v="1432"/>
    <x v="428"/>
    <x v="9"/>
    <x v="1"/>
    <x v="1431"/>
    <x v="0"/>
    <x v="3"/>
    <x v="2"/>
    <n v="4"/>
    <n v="179"/>
    <n v="716"/>
    <x v="1"/>
  </r>
  <r>
    <n v="1433"/>
    <x v="361"/>
    <x v="5"/>
    <x v="1"/>
    <x v="1432"/>
    <x v="1"/>
    <x v="43"/>
    <x v="0"/>
    <n v="1"/>
    <n v="322"/>
    <n v="322"/>
    <x v="2"/>
  </r>
  <r>
    <n v="1434"/>
    <x v="604"/>
    <x v="1"/>
    <x v="1"/>
    <x v="1433"/>
    <x v="1"/>
    <x v="10"/>
    <x v="0"/>
    <n v="4"/>
    <n v="198"/>
    <n v="792"/>
    <x v="1"/>
  </r>
  <r>
    <n v="1435"/>
    <x v="584"/>
    <x v="2"/>
    <x v="1"/>
    <x v="1434"/>
    <x v="0"/>
    <x v="16"/>
    <x v="2"/>
    <n v="4"/>
    <n v="97"/>
    <n v="388"/>
    <x v="2"/>
  </r>
  <r>
    <n v="1436"/>
    <x v="600"/>
    <x v="4"/>
    <x v="1"/>
    <x v="1435"/>
    <x v="0"/>
    <x v="31"/>
    <x v="1"/>
    <n v="2"/>
    <n v="280"/>
    <n v="560"/>
    <x v="1"/>
  </r>
  <r>
    <n v="1437"/>
    <x v="479"/>
    <x v="4"/>
    <x v="1"/>
    <x v="1436"/>
    <x v="1"/>
    <x v="28"/>
    <x v="2"/>
    <n v="3"/>
    <n v="338"/>
    <n v="1014"/>
    <x v="1"/>
  </r>
  <r>
    <n v="1438"/>
    <x v="605"/>
    <x v="4"/>
    <x v="1"/>
    <x v="1437"/>
    <x v="1"/>
    <x v="28"/>
    <x v="1"/>
    <n v="3"/>
    <n v="402"/>
    <n v="1206"/>
    <x v="1"/>
  </r>
  <r>
    <n v="1439"/>
    <x v="592"/>
    <x v="3"/>
    <x v="1"/>
    <x v="1438"/>
    <x v="0"/>
    <x v="2"/>
    <x v="0"/>
    <n v="4"/>
    <n v="52"/>
    <n v="208"/>
    <x v="2"/>
  </r>
  <r>
    <n v="1440"/>
    <x v="388"/>
    <x v="1"/>
    <x v="1"/>
    <x v="1439"/>
    <x v="0"/>
    <x v="21"/>
    <x v="1"/>
    <n v="2"/>
    <n v="43"/>
    <n v="86"/>
    <x v="1"/>
  </r>
  <r>
    <n v="1441"/>
    <x v="606"/>
    <x v="2"/>
    <x v="1"/>
    <x v="1440"/>
    <x v="1"/>
    <x v="10"/>
    <x v="0"/>
    <n v="4"/>
    <n v="248"/>
    <n v="992"/>
    <x v="2"/>
  </r>
  <r>
    <n v="1442"/>
    <x v="518"/>
    <x v="11"/>
    <x v="1"/>
    <x v="1441"/>
    <x v="1"/>
    <x v="8"/>
    <x v="2"/>
    <n v="3"/>
    <n v="388"/>
    <n v="1164"/>
    <x v="0"/>
  </r>
  <r>
    <n v="1443"/>
    <x v="607"/>
    <x v="7"/>
    <x v="1"/>
    <x v="1442"/>
    <x v="1"/>
    <x v="20"/>
    <x v="2"/>
    <n v="1"/>
    <n v="458"/>
    <n v="458"/>
    <x v="2"/>
  </r>
  <r>
    <n v="1444"/>
    <x v="461"/>
    <x v="10"/>
    <x v="1"/>
    <x v="1443"/>
    <x v="0"/>
    <x v="5"/>
    <x v="1"/>
    <n v="2"/>
    <n v="469"/>
    <n v="938"/>
    <x v="1"/>
  </r>
  <r>
    <n v="1445"/>
    <x v="565"/>
    <x v="4"/>
    <x v="1"/>
    <x v="1444"/>
    <x v="0"/>
    <x v="10"/>
    <x v="0"/>
    <n v="3"/>
    <n v="313"/>
    <n v="939"/>
    <x v="1"/>
  </r>
  <r>
    <n v="1446"/>
    <x v="457"/>
    <x v="8"/>
    <x v="1"/>
    <x v="1445"/>
    <x v="0"/>
    <x v="15"/>
    <x v="1"/>
    <n v="2"/>
    <n v="238"/>
    <n v="476"/>
    <x v="0"/>
  </r>
  <r>
    <n v="1447"/>
    <x v="571"/>
    <x v="11"/>
    <x v="1"/>
    <x v="1446"/>
    <x v="0"/>
    <x v="45"/>
    <x v="0"/>
    <n v="1"/>
    <n v="479"/>
    <n v="479"/>
    <x v="0"/>
  </r>
  <r>
    <n v="1448"/>
    <x v="608"/>
    <x v="9"/>
    <x v="1"/>
    <x v="1447"/>
    <x v="0"/>
    <x v="39"/>
    <x v="0"/>
    <n v="1"/>
    <n v="226"/>
    <n v="226"/>
    <x v="1"/>
  </r>
  <r>
    <n v="1449"/>
    <x v="367"/>
    <x v="5"/>
    <x v="1"/>
    <x v="1448"/>
    <x v="0"/>
    <x v="31"/>
    <x v="1"/>
    <n v="1"/>
    <n v="66"/>
    <n v="66"/>
    <x v="2"/>
  </r>
  <r>
    <n v="1450"/>
    <x v="559"/>
    <x v="2"/>
    <x v="1"/>
    <x v="1449"/>
    <x v="1"/>
    <x v="20"/>
    <x v="0"/>
    <n v="3"/>
    <n v="329"/>
    <n v="987"/>
    <x v="2"/>
  </r>
  <r>
    <n v="1451"/>
    <x v="609"/>
    <x v="8"/>
    <x v="1"/>
    <x v="1450"/>
    <x v="0"/>
    <x v="44"/>
    <x v="1"/>
    <n v="4"/>
    <n v="191"/>
    <n v="764"/>
    <x v="0"/>
  </r>
  <r>
    <n v="1452"/>
    <x v="424"/>
    <x v="7"/>
    <x v="1"/>
    <x v="1451"/>
    <x v="0"/>
    <x v="4"/>
    <x v="1"/>
    <n v="3"/>
    <n v="190"/>
    <n v="570"/>
    <x v="2"/>
  </r>
  <r>
    <n v="1453"/>
    <x v="352"/>
    <x v="6"/>
    <x v="1"/>
    <x v="1452"/>
    <x v="0"/>
    <x v="2"/>
    <x v="0"/>
    <n v="4"/>
    <n v="72"/>
    <n v="288"/>
    <x v="0"/>
  </r>
  <r>
    <n v="1454"/>
    <x v="359"/>
    <x v="5"/>
    <x v="1"/>
    <x v="1453"/>
    <x v="1"/>
    <x v="36"/>
    <x v="1"/>
    <n v="4"/>
    <n v="70"/>
    <n v="280"/>
    <x v="2"/>
  </r>
  <r>
    <n v="1455"/>
    <x v="578"/>
    <x v="6"/>
    <x v="1"/>
    <x v="1454"/>
    <x v="0"/>
    <x v="10"/>
    <x v="2"/>
    <n v="4"/>
    <n v="170"/>
    <n v="680"/>
    <x v="0"/>
  </r>
  <r>
    <n v="1456"/>
    <x v="490"/>
    <x v="0"/>
    <x v="1"/>
    <x v="1455"/>
    <x v="0"/>
    <x v="41"/>
    <x v="2"/>
    <n v="4"/>
    <n v="435"/>
    <n v="1740"/>
    <x v="0"/>
  </r>
  <r>
    <n v="1457"/>
    <x v="357"/>
    <x v="2"/>
    <x v="1"/>
    <x v="1456"/>
    <x v="1"/>
    <x v="17"/>
    <x v="0"/>
    <n v="2"/>
    <n v="208"/>
    <n v="416"/>
    <x v="2"/>
  </r>
  <r>
    <n v="1458"/>
    <x v="498"/>
    <x v="8"/>
    <x v="1"/>
    <x v="1457"/>
    <x v="0"/>
    <x v="37"/>
    <x v="0"/>
    <n v="2"/>
    <n v="275"/>
    <n v="550"/>
    <x v="0"/>
  </r>
  <r>
    <n v="1459"/>
    <x v="405"/>
    <x v="2"/>
    <x v="1"/>
    <x v="1458"/>
    <x v="1"/>
    <x v="40"/>
    <x v="2"/>
    <n v="4"/>
    <n v="71"/>
    <n v="284"/>
    <x v="2"/>
  </r>
  <r>
    <n v="1460"/>
    <x v="610"/>
    <x v="2"/>
    <x v="1"/>
    <x v="1459"/>
    <x v="1"/>
    <x v="35"/>
    <x v="1"/>
    <n v="4"/>
    <n v="347"/>
    <n v="1388"/>
    <x v="2"/>
  </r>
  <r>
    <n v="1461"/>
    <x v="447"/>
    <x v="2"/>
    <x v="1"/>
    <x v="1460"/>
    <x v="0"/>
    <x v="8"/>
    <x v="0"/>
    <n v="3"/>
    <n v="262"/>
    <n v="786"/>
    <x v="2"/>
  </r>
  <r>
    <n v="1462"/>
    <x v="575"/>
    <x v="8"/>
    <x v="1"/>
    <x v="1461"/>
    <x v="0"/>
    <x v="19"/>
    <x v="0"/>
    <n v="2"/>
    <n v="278"/>
    <n v="556"/>
    <x v="0"/>
  </r>
  <r>
    <n v="1463"/>
    <x v="417"/>
    <x v="3"/>
    <x v="1"/>
    <x v="1462"/>
    <x v="0"/>
    <x v="39"/>
    <x v="2"/>
    <n v="4"/>
    <n v="65"/>
    <n v="260"/>
    <x v="2"/>
  </r>
  <r>
    <n v="1464"/>
    <x v="611"/>
    <x v="3"/>
    <x v="1"/>
    <x v="1463"/>
    <x v="1"/>
    <x v="30"/>
    <x v="1"/>
    <n v="3"/>
    <n v="455"/>
    <n v="1365"/>
    <x v="2"/>
  </r>
  <r>
    <n v="1465"/>
    <x v="612"/>
    <x v="4"/>
    <x v="1"/>
    <x v="1464"/>
    <x v="1"/>
    <x v="39"/>
    <x v="0"/>
    <n v="1"/>
    <n v="307"/>
    <n v="307"/>
    <x v="1"/>
  </r>
  <r>
    <n v="1466"/>
    <x v="571"/>
    <x v="11"/>
    <x v="1"/>
    <x v="1465"/>
    <x v="0"/>
    <x v="26"/>
    <x v="1"/>
    <n v="4"/>
    <n v="236"/>
    <n v="944"/>
    <x v="0"/>
  </r>
  <r>
    <n v="1467"/>
    <x v="603"/>
    <x v="11"/>
    <x v="1"/>
    <x v="1466"/>
    <x v="1"/>
    <x v="33"/>
    <x v="0"/>
    <n v="3"/>
    <n v="206"/>
    <n v="618"/>
    <x v="0"/>
  </r>
  <r>
    <n v="1468"/>
    <x v="613"/>
    <x v="4"/>
    <x v="1"/>
    <x v="1467"/>
    <x v="0"/>
    <x v="26"/>
    <x v="1"/>
    <n v="1"/>
    <n v="404"/>
    <n v="404"/>
    <x v="1"/>
  </r>
  <r>
    <n v="1469"/>
    <x v="576"/>
    <x v="8"/>
    <x v="1"/>
    <x v="1468"/>
    <x v="1"/>
    <x v="36"/>
    <x v="1"/>
    <n v="4"/>
    <n v="48"/>
    <n v="192"/>
    <x v="0"/>
  </r>
  <r>
    <n v="1470"/>
    <x v="358"/>
    <x v="11"/>
    <x v="1"/>
    <x v="1469"/>
    <x v="1"/>
    <x v="23"/>
    <x v="2"/>
    <n v="3"/>
    <n v="325"/>
    <n v="975"/>
    <x v="0"/>
  </r>
  <r>
    <n v="1471"/>
    <x v="601"/>
    <x v="2"/>
    <x v="1"/>
    <x v="1470"/>
    <x v="1"/>
    <x v="35"/>
    <x v="2"/>
    <n v="3"/>
    <n v="495"/>
    <n v="1485"/>
    <x v="2"/>
  </r>
  <r>
    <n v="1472"/>
    <x v="614"/>
    <x v="1"/>
    <x v="1"/>
    <x v="1471"/>
    <x v="0"/>
    <x v="36"/>
    <x v="1"/>
    <n v="3"/>
    <n v="471"/>
    <n v="1413"/>
    <x v="1"/>
  </r>
  <r>
    <n v="1473"/>
    <x v="413"/>
    <x v="8"/>
    <x v="1"/>
    <x v="1472"/>
    <x v="0"/>
    <x v="28"/>
    <x v="0"/>
    <n v="1"/>
    <n v="27"/>
    <n v="27"/>
    <x v="0"/>
  </r>
  <r>
    <n v="1474"/>
    <x v="361"/>
    <x v="5"/>
    <x v="1"/>
    <x v="1473"/>
    <x v="0"/>
    <x v="3"/>
    <x v="1"/>
    <n v="4"/>
    <n v="260"/>
    <n v="1040"/>
    <x v="2"/>
  </r>
  <r>
    <n v="1475"/>
    <x v="400"/>
    <x v="8"/>
    <x v="1"/>
    <x v="1474"/>
    <x v="1"/>
    <x v="33"/>
    <x v="0"/>
    <n v="4"/>
    <n v="180"/>
    <n v="720"/>
    <x v="0"/>
  </r>
  <r>
    <n v="1476"/>
    <x v="506"/>
    <x v="0"/>
    <x v="1"/>
    <x v="1475"/>
    <x v="1"/>
    <x v="11"/>
    <x v="0"/>
    <n v="4"/>
    <n v="436"/>
    <n v="1744"/>
    <x v="0"/>
  </r>
  <r>
    <n v="1477"/>
    <x v="433"/>
    <x v="9"/>
    <x v="1"/>
    <x v="1476"/>
    <x v="0"/>
    <x v="43"/>
    <x v="1"/>
    <n v="1"/>
    <n v="122"/>
    <n v="122"/>
    <x v="1"/>
  </r>
  <r>
    <n v="1478"/>
    <x v="451"/>
    <x v="11"/>
    <x v="1"/>
    <x v="1477"/>
    <x v="0"/>
    <x v="11"/>
    <x v="1"/>
    <n v="1"/>
    <n v="132"/>
    <n v="132"/>
    <x v="0"/>
  </r>
  <r>
    <n v="1479"/>
    <x v="615"/>
    <x v="3"/>
    <x v="1"/>
    <x v="1478"/>
    <x v="0"/>
    <x v="19"/>
    <x v="1"/>
    <n v="4"/>
    <n v="456"/>
    <n v="1824"/>
    <x v="2"/>
  </r>
  <r>
    <n v="1480"/>
    <x v="379"/>
    <x v="0"/>
    <x v="1"/>
    <x v="1479"/>
    <x v="0"/>
    <x v="16"/>
    <x v="2"/>
    <n v="4"/>
    <n v="100"/>
    <n v="400"/>
    <x v="0"/>
  </r>
  <r>
    <n v="1481"/>
    <x v="616"/>
    <x v="2"/>
    <x v="1"/>
    <x v="1480"/>
    <x v="1"/>
    <x v="0"/>
    <x v="1"/>
    <n v="2"/>
    <n v="487"/>
    <n v="974"/>
    <x v="2"/>
  </r>
  <r>
    <n v="1482"/>
    <x v="482"/>
    <x v="10"/>
    <x v="1"/>
    <x v="1481"/>
    <x v="1"/>
    <x v="45"/>
    <x v="2"/>
    <n v="1"/>
    <n v="465"/>
    <n v="465"/>
    <x v="1"/>
  </r>
  <r>
    <n v="1483"/>
    <x v="573"/>
    <x v="2"/>
    <x v="1"/>
    <x v="1482"/>
    <x v="0"/>
    <x v="27"/>
    <x v="2"/>
    <n v="4"/>
    <n v="51"/>
    <n v="204"/>
    <x v="2"/>
  </r>
  <r>
    <n v="1484"/>
    <x v="493"/>
    <x v="9"/>
    <x v="1"/>
    <x v="1483"/>
    <x v="0"/>
    <x v="1"/>
    <x v="0"/>
    <n v="4"/>
    <n v="237"/>
    <n v="948"/>
    <x v="1"/>
  </r>
  <r>
    <n v="1485"/>
    <x v="526"/>
    <x v="3"/>
    <x v="1"/>
    <x v="1484"/>
    <x v="1"/>
    <x v="8"/>
    <x v="2"/>
    <n v="4"/>
    <n v="273"/>
    <n v="1092"/>
    <x v="2"/>
  </r>
  <r>
    <n v="1486"/>
    <x v="617"/>
    <x v="3"/>
    <x v="1"/>
    <x v="1485"/>
    <x v="1"/>
    <x v="9"/>
    <x v="0"/>
    <n v="1"/>
    <n v="295"/>
    <n v="295"/>
    <x v="2"/>
  </r>
  <r>
    <n v="1487"/>
    <x v="583"/>
    <x v="6"/>
    <x v="1"/>
    <x v="1486"/>
    <x v="1"/>
    <x v="42"/>
    <x v="2"/>
    <n v="1"/>
    <n v="162"/>
    <n v="162"/>
    <x v="0"/>
  </r>
  <r>
    <n v="1488"/>
    <x v="490"/>
    <x v="0"/>
    <x v="1"/>
    <x v="1487"/>
    <x v="1"/>
    <x v="40"/>
    <x v="1"/>
    <n v="4"/>
    <n v="343"/>
    <n v="1372"/>
    <x v="0"/>
  </r>
  <r>
    <n v="1489"/>
    <x v="495"/>
    <x v="0"/>
    <x v="1"/>
    <x v="1488"/>
    <x v="1"/>
    <x v="24"/>
    <x v="0"/>
    <n v="4"/>
    <n v="35"/>
    <n v="140"/>
    <x v="0"/>
  </r>
  <r>
    <n v="1490"/>
    <x v="492"/>
    <x v="10"/>
    <x v="1"/>
    <x v="1489"/>
    <x v="1"/>
    <x v="46"/>
    <x v="1"/>
    <n v="4"/>
    <n v="201"/>
    <n v="804"/>
    <x v="1"/>
  </r>
  <r>
    <n v="1491"/>
    <x v="618"/>
    <x v="2"/>
    <x v="1"/>
    <x v="1490"/>
    <x v="0"/>
    <x v="26"/>
    <x v="1"/>
    <n v="3"/>
    <n v="496"/>
    <n v="1488"/>
    <x v="2"/>
  </r>
  <r>
    <n v="1492"/>
    <x v="619"/>
    <x v="0"/>
    <x v="1"/>
    <x v="1491"/>
    <x v="1"/>
    <x v="43"/>
    <x v="2"/>
    <n v="4"/>
    <n v="238"/>
    <n v="952"/>
    <x v="0"/>
  </r>
  <r>
    <n v="1493"/>
    <x v="413"/>
    <x v="8"/>
    <x v="1"/>
    <x v="1492"/>
    <x v="1"/>
    <x v="40"/>
    <x v="1"/>
    <n v="2"/>
    <n v="169"/>
    <n v="338"/>
    <x v="0"/>
  </r>
  <r>
    <n v="1494"/>
    <x v="620"/>
    <x v="8"/>
    <x v="1"/>
    <x v="1493"/>
    <x v="0"/>
    <x v="33"/>
    <x v="2"/>
    <n v="2"/>
    <n v="113"/>
    <n v="226"/>
    <x v="0"/>
  </r>
  <r>
    <n v="1495"/>
    <x v="621"/>
    <x v="1"/>
    <x v="1"/>
    <x v="1494"/>
    <x v="0"/>
    <x v="32"/>
    <x v="2"/>
    <n v="1"/>
    <n v="431"/>
    <n v="431"/>
    <x v="1"/>
  </r>
  <r>
    <n v="1496"/>
    <x v="470"/>
    <x v="5"/>
    <x v="1"/>
    <x v="1495"/>
    <x v="1"/>
    <x v="34"/>
    <x v="1"/>
    <n v="2"/>
    <n v="310"/>
    <n v="620"/>
    <x v="2"/>
  </r>
  <r>
    <n v="1497"/>
    <x v="622"/>
    <x v="6"/>
    <x v="1"/>
    <x v="1496"/>
    <x v="0"/>
    <x v="5"/>
    <x v="2"/>
    <n v="3"/>
    <n v="371"/>
    <n v="1113"/>
    <x v="0"/>
  </r>
  <r>
    <n v="1498"/>
    <x v="586"/>
    <x v="10"/>
    <x v="1"/>
    <x v="1497"/>
    <x v="0"/>
    <x v="26"/>
    <x v="1"/>
    <n v="1"/>
    <n v="197"/>
    <n v="197"/>
    <x v="1"/>
  </r>
  <r>
    <n v="1499"/>
    <x v="562"/>
    <x v="2"/>
    <x v="1"/>
    <x v="1498"/>
    <x v="0"/>
    <x v="35"/>
    <x v="1"/>
    <n v="1"/>
    <n v="312"/>
    <n v="312"/>
    <x v="2"/>
  </r>
  <r>
    <n v="1500"/>
    <x v="623"/>
    <x v="1"/>
    <x v="1"/>
    <x v="1499"/>
    <x v="1"/>
    <x v="22"/>
    <x v="2"/>
    <n v="3"/>
    <n v="418"/>
    <n v="1254"/>
    <x v="1"/>
  </r>
  <r>
    <n v="1501"/>
    <x v="420"/>
    <x v="6"/>
    <x v="1"/>
    <x v="1500"/>
    <x v="1"/>
    <x v="30"/>
    <x v="0"/>
    <n v="1"/>
    <n v="386"/>
    <n v="386"/>
    <x v="0"/>
  </r>
  <r>
    <n v="1502"/>
    <x v="356"/>
    <x v="6"/>
    <x v="1"/>
    <x v="1501"/>
    <x v="1"/>
    <x v="20"/>
    <x v="1"/>
    <n v="1"/>
    <n v="425"/>
    <n v="425"/>
    <x v="0"/>
  </r>
  <r>
    <n v="1503"/>
    <x v="474"/>
    <x v="0"/>
    <x v="1"/>
    <x v="1502"/>
    <x v="0"/>
    <x v="2"/>
    <x v="1"/>
    <n v="1"/>
    <n v="110"/>
    <n v="110"/>
    <x v="0"/>
  </r>
  <r>
    <n v="1504"/>
    <x v="477"/>
    <x v="0"/>
    <x v="1"/>
    <x v="1503"/>
    <x v="0"/>
    <x v="4"/>
    <x v="2"/>
    <n v="2"/>
    <n v="397"/>
    <n v="794"/>
    <x v="0"/>
  </r>
  <r>
    <n v="1505"/>
    <x v="395"/>
    <x v="4"/>
    <x v="1"/>
    <x v="1504"/>
    <x v="1"/>
    <x v="26"/>
    <x v="2"/>
    <n v="1"/>
    <n v="103"/>
    <n v="103"/>
    <x v="1"/>
  </r>
  <r>
    <n v="1506"/>
    <x v="490"/>
    <x v="0"/>
    <x v="1"/>
    <x v="1505"/>
    <x v="1"/>
    <x v="44"/>
    <x v="1"/>
    <n v="1"/>
    <n v="459"/>
    <n v="459"/>
    <x v="0"/>
  </r>
  <r>
    <n v="1507"/>
    <x v="434"/>
    <x v="1"/>
    <x v="1"/>
    <x v="1506"/>
    <x v="1"/>
    <x v="38"/>
    <x v="1"/>
    <n v="2"/>
    <n v="452"/>
    <n v="904"/>
    <x v="1"/>
  </r>
  <r>
    <n v="1508"/>
    <x v="616"/>
    <x v="2"/>
    <x v="1"/>
    <x v="1507"/>
    <x v="1"/>
    <x v="39"/>
    <x v="0"/>
    <n v="2"/>
    <n v="68"/>
    <n v="136"/>
    <x v="2"/>
  </r>
  <r>
    <n v="1509"/>
    <x v="532"/>
    <x v="4"/>
    <x v="1"/>
    <x v="1508"/>
    <x v="1"/>
    <x v="23"/>
    <x v="2"/>
    <n v="3"/>
    <n v="347"/>
    <n v="1041"/>
    <x v="1"/>
  </r>
  <r>
    <n v="1510"/>
    <x v="498"/>
    <x v="8"/>
    <x v="1"/>
    <x v="1509"/>
    <x v="0"/>
    <x v="30"/>
    <x v="0"/>
    <n v="4"/>
    <n v="428"/>
    <n v="1712"/>
    <x v="0"/>
  </r>
  <r>
    <n v="1511"/>
    <x v="561"/>
    <x v="1"/>
    <x v="1"/>
    <x v="1510"/>
    <x v="0"/>
    <x v="28"/>
    <x v="2"/>
    <n v="4"/>
    <n v="484"/>
    <n v="1936"/>
    <x v="1"/>
  </r>
  <r>
    <n v="1512"/>
    <x v="407"/>
    <x v="2"/>
    <x v="1"/>
    <x v="1511"/>
    <x v="1"/>
    <x v="0"/>
    <x v="2"/>
    <n v="2"/>
    <n v="419"/>
    <n v="838"/>
    <x v="2"/>
  </r>
  <r>
    <n v="1513"/>
    <x v="468"/>
    <x v="6"/>
    <x v="1"/>
    <x v="1512"/>
    <x v="0"/>
    <x v="16"/>
    <x v="2"/>
    <n v="3"/>
    <n v="230"/>
    <n v="690"/>
    <x v="0"/>
  </r>
  <r>
    <n v="1514"/>
    <x v="624"/>
    <x v="10"/>
    <x v="1"/>
    <x v="1513"/>
    <x v="1"/>
    <x v="21"/>
    <x v="2"/>
    <n v="1"/>
    <n v="363"/>
    <n v="363"/>
    <x v="1"/>
  </r>
  <r>
    <n v="1515"/>
    <x v="351"/>
    <x v="0"/>
    <x v="1"/>
    <x v="1514"/>
    <x v="0"/>
    <x v="42"/>
    <x v="1"/>
    <n v="3"/>
    <n v="239"/>
    <n v="717"/>
    <x v="0"/>
  </r>
  <r>
    <n v="1516"/>
    <x v="595"/>
    <x v="5"/>
    <x v="1"/>
    <x v="1515"/>
    <x v="1"/>
    <x v="46"/>
    <x v="0"/>
    <n v="3"/>
    <n v="490"/>
    <n v="1470"/>
    <x v="2"/>
  </r>
  <r>
    <n v="1517"/>
    <x v="533"/>
    <x v="9"/>
    <x v="1"/>
    <x v="1516"/>
    <x v="0"/>
    <x v="12"/>
    <x v="0"/>
    <n v="2"/>
    <n v="383"/>
    <n v="766"/>
    <x v="1"/>
  </r>
  <r>
    <n v="1518"/>
    <x v="625"/>
    <x v="5"/>
    <x v="1"/>
    <x v="1517"/>
    <x v="1"/>
    <x v="19"/>
    <x v="1"/>
    <n v="4"/>
    <n v="382"/>
    <n v="1528"/>
    <x v="2"/>
  </r>
  <r>
    <n v="1519"/>
    <x v="533"/>
    <x v="9"/>
    <x v="1"/>
    <x v="1518"/>
    <x v="1"/>
    <x v="27"/>
    <x v="2"/>
    <n v="1"/>
    <n v="43"/>
    <n v="43"/>
    <x v="1"/>
  </r>
  <r>
    <n v="1520"/>
    <x v="517"/>
    <x v="7"/>
    <x v="1"/>
    <x v="1519"/>
    <x v="1"/>
    <x v="29"/>
    <x v="0"/>
    <n v="2"/>
    <n v="291"/>
    <n v="582"/>
    <x v="2"/>
  </r>
  <r>
    <n v="1521"/>
    <x v="355"/>
    <x v="7"/>
    <x v="1"/>
    <x v="1520"/>
    <x v="1"/>
    <x v="4"/>
    <x v="1"/>
    <n v="3"/>
    <n v="291"/>
    <n v="873"/>
    <x v="2"/>
  </r>
  <r>
    <n v="1522"/>
    <x v="626"/>
    <x v="9"/>
    <x v="1"/>
    <x v="1521"/>
    <x v="0"/>
    <x v="0"/>
    <x v="1"/>
    <n v="3"/>
    <n v="148"/>
    <n v="444"/>
    <x v="1"/>
  </r>
  <r>
    <n v="1523"/>
    <x v="627"/>
    <x v="9"/>
    <x v="1"/>
    <x v="1522"/>
    <x v="1"/>
    <x v="26"/>
    <x v="1"/>
    <n v="1"/>
    <n v="455"/>
    <n v="455"/>
    <x v="1"/>
  </r>
  <r>
    <n v="1524"/>
    <x v="538"/>
    <x v="5"/>
    <x v="1"/>
    <x v="1523"/>
    <x v="1"/>
    <x v="7"/>
    <x v="0"/>
    <n v="3"/>
    <n v="88"/>
    <n v="264"/>
    <x v="2"/>
  </r>
  <r>
    <n v="1525"/>
    <x v="622"/>
    <x v="6"/>
    <x v="1"/>
    <x v="1524"/>
    <x v="0"/>
    <x v="24"/>
    <x v="2"/>
    <n v="1"/>
    <n v="257"/>
    <n v="257"/>
    <x v="0"/>
  </r>
  <r>
    <n v="1526"/>
    <x v="425"/>
    <x v="9"/>
    <x v="1"/>
    <x v="1525"/>
    <x v="0"/>
    <x v="15"/>
    <x v="0"/>
    <n v="2"/>
    <n v="204"/>
    <n v="408"/>
    <x v="1"/>
  </r>
  <r>
    <n v="1527"/>
    <x v="628"/>
    <x v="9"/>
    <x v="1"/>
    <x v="1526"/>
    <x v="1"/>
    <x v="33"/>
    <x v="0"/>
    <n v="2"/>
    <n v="390"/>
    <n v="780"/>
    <x v="1"/>
  </r>
  <r>
    <n v="1528"/>
    <x v="629"/>
    <x v="5"/>
    <x v="1"/>
    <x v="1527"/>
    <x v="0"/>
    <x v="1"/>
    <x v="2"/>
    <n v="2"/>
    <n v="446"/>
    <n v="892"/>
    <x v="2"/>
  </r>
  <r>
    <n v="1529"/>
    <x v="630"/>
    <x v="5"/>
    <x v="1"/>
    <x v="1528"/>
    <x v="1"/>
    <x v="1"/>
    <x v="1"/>
    <n v="4"/>
    <n v="449"/>
    <n v="1796"/>
    <x v="2"/>
  </r>
  <r>
    <n v="1530"/>
    <x v="523"/>
    <x v="5"/>
    <x v="1"/>
    <x v="1529"/>
    <x v="0"/>
    <x v="16"/>
    <x v="1"/>
    <n v="4"/>
    <n v="479"/>
    <n v="1916"/>
    <x v="2"/>
  </r>
  <r>
    <n v="1531"/>
    <x v="631"/>
    <x v="10"/>
    <x v="1"/>
    <x v="1530"/>
    <x v="1"/>
    <x v="4"/>
    <x v="2"/>
    <n v="1"/>
    <n v="214"/>
    <n v="214"/>
    <x v="1"/>
  </r>
  <r>
    <n v="1532"/>
    <x v="575"/>
    <x v="8"/>
    <x v="1"/>
    <x v="1531"/>
    <x v="1"/>
    <x v="15"/>
    <x v="0"/>
    <n v="4"/>
    <n v="471"/>
    <n v="1884"/>
    <x v="0"/>
  </r>
  <r>
    <n v="1533"/>
    <x v="605"/>
    <x v="4"/>
    <x v="1"/>
    <x v="1532"/>
    <x v="1"/>
    <x v="7"/>
    <x v="2"/>
    <n v="4"/>
    <n v="377"/>
    <n v="1508"/>
    <x v="1"/>
  </r>
  <r>
    <n v="1534"/>
    <x v="632"/>
    <x v="3"/>
    <x v="1"/>
    <x v="1533"/>
    <x v="1"/>
    <x v="10"/>
    <x v="1"/>
    <n v="2"/>
    <n v="273"/>
    <n v="546"/>
    <x v="2"/>
  </r>
  <r>
    <n v="1535"/>
    <x v="404"/>
    <x v="8"/>
    <x v="1"/>
    <x v="1534"/>
    <x v="1"/>
    <x v="43"/>
    <x v="0"/>
    <n v="1"/>
    <n v="380"/>
    <n v="380"/>
    <x v="0"/>
  </r>
  <r>
    <n v="1536"/>
    <x v="602"/>
    <x v="1"/>
    <x v="1"/>
    <x v="1535"/>
    <x v="1"/>
    <x v="40"/>
    <x v="1"/>
    <n v="2"/>
    <n v="311"/>
    <n v="622"/>
    <x v="1"/>
  </r>
  <r>
    <n v="1537"/>
    <x v="510"/>
    <x v="5"/>
    <x v="1"/>
    <x v="1536"/>
    <x v="0"/>
    <x v="32"/>
    <x v="2"/>
    <n v="1"/>
    <n v="86"/>
    <n v="86"/>
    <x v="2"/>
  </r>
  <r>
    <n v="1538"/>
    <x v="510"/>
    <x v="5"/>
    <x v="1"/>
    <x v="1537"/>
    <x v="1"/>
    <x v="8"/>
    <x v="0"/>
    <n v="2"/>
    <n v="85"/>
    <n v="170"/>
    <x v="2"/>
  </r>
  <r>
    <n v="1539"/>
    <x v="538"/>
    <x v="5"/>
    <x v="1"/>
    <x v="1538"/>
    <x v="1"/>
    <x v="37"/>
    <x v="2"/>
    <n v="3"/>
    <n v="273"/>
    <n v="819"/>
    <x v="2"/>
  </r>
  <r>
    <n v="1540"/>
    <x v="633"/>
    <x v="6"/>
    <x v="1"/>
    <x v="1539"/>
    <x v="0"/>
    <x v="30"/>
    <x v="0"/>
    <n v="4"/>
    <n v="49"/>
    <n v="196"/>
    <x v="0"/>
  </r>
  <r>
    <n v="1541"/>
    <x v="365"/>
    <x v="9"/>
    <x v="1"/>
    <x v="1540"/>
    <x v="1"/>
    <x v="4"/>
    <x v="1"/>
    <n v="4"/>
    <n v="26"/>
    <n v="104"/>
    <x v="1"/>
  </r>
  <r>
    <n v="1542"/>
    <x v="589"/>
    <x v="10"/>
    <x v="1"/>
    <x v="1541"/>
    <x v="1"/>
    <x v="25"/>
    <x v="1"/>
    <n v="4"/>
    <n v="271"/>
    <n v="1084"/>
    <x v="1"/>
  </r>
  <r>
    <n v="1543"/>
    <x v="581"/>
    <x v="7"/>
    <x v="1"/>
    <x v="1542"/>
    <x v="1"/>
    <x v="42"/>
    <x v="2"/>
    <n v="3"/>
    <n v="425"/>
    <n v="1275"/>
    <x v="2"/>
  </r>
  <r>
    <n v="1544"/>
    <x v="629"/>
    <x v="5"/>
    <x v="1"/>
    <x v="1543"/>
    <x v="1"/>
    <x v="46"/>
    <x v="0"/>
    <n v="2"/>
    <n v="415"/>
    <n v="830"/>
    <x v="2"/>
  </r>
  <r>
    <n v="1545"/>
    <x v="385"/>
    <x v="10"/>
    <x v="1"/>
    <x v="1544"/>
    <x v="1"/>
    <x v="24"/>
    <x v="0"/>
    <n v="4"/>
    <n v="101"/>
    <n v="404"/>
    <x v="1"/>
  </r>
  <r>
    <n v="1546"/>
    <x v="350"/>
    <x v="9"/>
    <x v="1"/>
    <x v="1545"/>
    <x v="0"/>
    <x v="35"/>
    <x v="0"/>
    <n v="4"/>
    <n v="223"/>
    <n v="892"/>
    <x v="1"/>
  </r>
  <r>
    <n v="1547"/>
    <x v="634"/>
    <x v="1"/>
    <x v="1"/>
    <x v="1546"/>
    <x v="1"/>
    <x v="44"/>
    <x v="0"/>
    <n v="1"/>
    <n v="368"/>
    <n v="368"/>
    <x v="1"/>
  </r>
  <r>
    <n v="1548"/>
    <x v="560"/>
    <x v="2"/>
    <x v="1"/>
    <x v="1547"/>
    <x v="1"/>
    <x v="19"/>
    <x v="1"/>
    <n v="2"/>
    <n v="387"/>
    <n v="774"/>
    <x v="2"/>
  </r>
  <r>
    <n v="1549"/>
    <x v="184"/>
    <x v="6"/>
    <x v="1"/>
    <x v="1548"/>
    <x v="1"/>
    <x v="2"/>
    <x v="0"/>
    <n v="1"/>
    <n v="354"/>
    <n v="354"/>
    <x v="0"/>
  </r>
  <r>
    <n v="1550"/>
    <x v="442"/>
    <x v="7"/>
    <x v="1"/>
    <x v="1549"/>
    <x v="0"/>
    <x v="27"/>
    <x v="0"/>
    <n v="1"/>
    <n v="316"/>
    <n v="316"/>
    <x v="2"/>
  </r>
  <r>
    <n v="1551"/>
    <x v="371"/>
    <x v="3"/>
    <x v="1"/>
    <x v="1550"/>
    <x v="0"/>
    <x v="40"/>
    <x v="0"/>
    <n v="1"/>
    <n v="86"/>
    <n v="86"/>
    <x v="2"/>
  </r>
  <r>
    <n v="1552"/>
    <x v="374"/>
    <x v="8"/>
    <x v="1"/>
    <x v="1551"/>
    <x v="0"/>
    <x v="0"/>
    <x v="2"/>
    <n v="2"/>
    <n v="150"/>
    <n v="300"/>
    <x v="0"/>
  </r>
  <r>
    <n v="1553"/>
    <x v="539"/>
    <x v="8"/>
    <x v="1"/>
    <x v="1552"/>
    <x v="1"/>
    <x v="16"/>
    <x v="0"/>
    <n v="3"/>
    <n v="230"/>
    <n v="690"/>
    <x v="0"/>
  </r>
  <r>
    <n v="1554"/>
    <x v="590"/>
    <x v="7"/>
    <x v="1"/>
    <x v="1553"/>
    <x v="0"/>
    <x v="45"/>
    <x v="1"/>
    <n v="3"/>
    <n v="248"/>
    <n v="744"/>
    <x v="2"/>
  </r>
  <r>
    <n v="1555"/>
    <x v="471"/>
    <x v="1"/>
    <x v="1"/>
    <x v="1554"/>
    <x v="1"/>
    <x v="0"/>
    <x v="0"/>
    <n v="3"/>
    <n v="220"/>
    <n v="660"/>
    <x v="1"/>
  </r>
  <r>
    <n v="1556"/>
    <x v="635"/>
    <x v="4"/>
    <x v="1"/>
    <x v="1555"/>
    <x v="0"/>
    <x v="41"/>
    <x v="1"/>
    <n v="2"/>
    <n v="171"/>
    <n v="342"/>
    <x v="1"/>
  </r>
  <r>
    <n v="1557"/>
    <x v="557"/>
    <x v="10"/>
    <x v="1"/>
    <x v="1556"/>
    <x v="0"/>
    <x v="22"/>
    <x v="1"/>
    <n v="2"/>
    <n v="182"/>
    <n v="364"/>
    <x v="1"/>
  </r>
  <r>
    <n v="1558"/>
    <x v="527"/>
    <x v="5"/>
    <x v="1"/>
    <x v="1557"/>
    <x v="0"/>
    <x v="21"/>
    <x v="0"/>
    <n v="3"/>
    <n v="117"/>
    <n v="351"/>
    <x v="2"/>
  </r>
  <r>
    <n v="1559"/>
    <x v="636"/>
    <x v="6"/>
    <x v="1"/>
    <x v="1558"/>
    <x v="0"/>
    <x v="34"/>
    <x v="2"/>
    <n v="1"/>
    <n v="188"/>
    <n v="188"/>
    <x v="0"/>
  </r>
  <r>
    <n v="1560"/>
    <x v="505"/>
    <x v="10"/>
    <x v="1"/>
    <x v="1559"/>
    <x v="1"/>
    <x v="31"/>
    <x v="2"/>
    <n v="4"/>
    <n v="448"/>
    <n v="1792"/>
    <x v="1"/>
  </r>
  <r>
    <n v="1561"/>
    <x v="353"/>
    <x v="10"/>
    <x v="1"/>
    <x v="1560"/>
    <x v="0"/>
    <x v="27"/>
    <x v="1"/>
    <n v="2"/>
    <n v="277"/>
    <n v="554"/>
    <x v="1"/>
  </r>
  <r>
    <n v="1562"/>
    <x v="637"/>
    <x v="3"/>
    <x v="1"/>
    <x v="1561"/>
    <x v="1"/>
    <x v="41"/>
    <x v="2"/>
    <n v="1"/>
    <n v="187"/>
    <n v="187"/>
    <x v="2"/>
  </r>
  <r>
    <n v="1563"/>
    <x v="528"/>
    <x v="2"/>
    <x v="1"/>
    <x v="1562"/>
    <x v="1"/>
    <x v="25"/>
    <x v="2"/>
    <n v="1"/>
    <n v="233"/>
    <n v="233"/>
    <x v="2"/>
  </r>
  <r>
    <n v="1564"/>
    <x v="475"/>
    <x v="0"/>
    <x v="1"/>
    <x v="1563"/>
    <x v="0"/>
    <x v="0"/>
    <x v="2"/>
    <n v="1"/>
    <n v="151"/>
    <n v="151"/>
    <x v="0"/>
  </r>
  <r>
    <n v="1565"/>
    <x v="638"/>
    <x v="7"/>
    <x v="1"/>
    <x v="1564"/>
    <x v="0"/>
    <x v="34"/>
    <x v="0"/>
    <n v="4"/>
    <n v="253"/>
    <n v="1012"/>
    <x v="2"/>
  </r>
  <r>
    <n v="1566"/>
    <x v="358"/>
    <x v="11"/>
    <x v="1"/>
    <x v="1565"/>
    <x v="0"/>
    <x v="30"/>
    <x v="2"/>
    <n v="2"/>
    <n v="425"/>
    <n v="850"/>
    <x v="0"/>
  </r>
  <r>
    <n v="1567"/>
    <x v="444"/>
    <x v="4"/>
    <x v="1"/>
    <x v="1566"/>
    <x v="1"/>
    <x v="2"/>
    <x v="2"/>
    <n v="1"/>
    <n v="25"/>
    <n v="25"/>
    <x v="1"/>
  </r>
  <r>
    <n v="1568"/>
    <x v="528"/>
    <x v="2"/>
    <x v="1"/>
    <x v="1567"/>
    <x v="1"/>
    <x v="19"/>
    <x v="1"/>
    <n v="1"/>
    <n v="55"/>
    <n v="55"/>
    <x v="2"/>
  </r>
  <r>
    <n v="1569"/>
    <x v="615"/>
    <x v="3"/>
    <x v="1"/>
    <x v="1568"/>
    <x v="1"/>
    <x v="32"/>
    <x v="2"/>
    <n v="4"/>
    <n v="204"/>
    <n v="816"/>
    <x v="2"/>
  </r>
  <r>
    <n v="1570"/>
    <x v="354"/>
    <x v="0"/>
    <x v="1"/>
    <x v="1569"/>
    <x v="0"/>
    <x v="15"/>
    <x v="0"/>
    <n v="3"/>
    <n v="48"/>
    <n v="144"/>
    <x v="0"/>
  </r>
  <r>
    <n v="1571"/>
    <x v="492"/>
    <x v="10"/>
    <x v="1"/>
    <x v="1570"/>
    <x v="0"/>
    <x v="34"/>
    <x v="1"/>
    <n v="4"/>
    <n v="382"/>
    <n v="1528"/>
    <x v="1"/>
  </r>
  <r>
    <n v="1572"/>
    <x v="589"/>
    <x v="10"/>
    <x v="1"/>
    <x v="1571"/>
    <x v="0"/>
    <x v="46"/>
    <x v="0"/>
    <n v="3"/>
    <n v="474"/>
    <n v="1422"/>
    <x v="1"/>
  </r>
  <r>
    <n v="1573"/>
    <x v="357"/>
    <x v="2"/>
    <x v="1"/>
    <x v="1572"/>
    <x v="0"/>
    <x v="35"/>
    <x v="0"/>
    <n v="3"/>
    <n v="477"/>
    <n v="1431"/>
    <x v="2"/>
  </r>
  <r>
    <n v="1574"/>
    <x v="484"/>
    <x v="8"/>
    <x v="1"/>
    <x v="1573"/>
    <x v="1"/>
    <x v="7"/>
    <x v="2"/>
    <n v="4"/>
    <n v="164"/>
    <n v="656"/>
    <x v="0"/>
  </r>
  <r>
    <n v="1575"/>
    <x v="444"/>
    <x v="4"/>
    <x v="1"/>
    <x v="1574"/>
    <x v="1"/>
    <x v="44"/>
    <x v="1"/>
    <n v="4"/>
    <n v="331"/>
    <n v="1324"/>
    <x v="1"/>
  </r>
  <r>
    <n v="1576"/>
    <x v="608"/>
    <x v="9"/>
    <x v="1"/>
    <x v="1575"/>
    <x v="0"/>
    <x v="11"/>
    <x v="1"/>
    <n v="1"/>
    <n v="336"/>
    <n v="336"/>
    <x v="1"/>
  </r>
  <r>
    <n v="1577"/>
    <x v="639"/>
    <x v="2"/>
    <x v="1"/>
    <x v="1576"/>
    <x v="0"/>
    <x v="3"/>
    <x v="0"/>
    <n v="2"/>
    <n v="236"/>
    <n v="472"/>
    <x v="2"/>
  </r>
  <r>
    <n v="1578"/>
    <x v="638"/>
    <x v="7"/>
    <x v="1"/>
    <x v="1577"/>
    <x v="1"/>
    <x v="13"/>
    <x v="0"/>
    <n v="1"/>
    <n v="428"/>
    <n v="428"/>
    <x v="2"/>
  </r>
  <r>
    <n v="1579"/>
    <x v="375"/>
    <x v="0"/>
    <x v="1"/>
    <x v="1578"/>
    <x v="0"/>
    <x v="6"/>
    <x v="1"/>
    <n v="4"/>
    <n v="369"/>
    <n v="1476"/>
    <x v="0"/>
  </r>
  <r>
    <n v="1580"/>
    <x v="563"/>
    <x v="10"/>
    <x v="1"/>
    <x v="1579"/>
    <x v="1"/>
    <x v="29"/>
    <x v="0"/>
    <n v="3"/>
    <n v="223"/>
    <n v="669"/>
    <x v="1"/>
  </r>
  <r>
    <n v="1581"/>
    <x v="516"/>
    <x v="10"/>
    <x v="1"/>
    <x v="1580"/>
    <x v="0"/>
    <x v="41"/>
    <x v="2"/>
    <n v="3"/>
    <n v="123"/>
    <n v="369"/>
    <x v="1"/>
  </r>
  <r>
    <n v="1582"/>
    <x v="445"/>
    <x v="2"/>
    <x v="1"/>
    <x v="1581"/>
    <x v="0"/>
    <x v="9"/>
    <x v="0"/>
    <n v="1"/>
    <n v="413"/>
    <n v="413"/>
    <x v="2"/>
  </r>
  <r>
    <n v="1583"/>
    <x v="479"/>
    <x v="4"/>
    <x v="1"/>
    <x v="1582"/>
    <x v="1"/>
    <x v="27"/>
    <x v="1"/>
    <n v="3"/>
    <n v="438"/>
    <n v="1314"/>
    <x v="1"/>
  </r>
  <r>
    <n v="1584"/>
    <x v="640"/>
    <x v="1"/>
    <x v="1"/>
    <x v="1583"/>
    <x v="0"/>
    <x v="45"/>
    <x v="2"/>
    <n v="1"/>
    <n v="168"/>
    <n v="168"/>
    <x v="1"/>
  </r>
  <r>
    <n v="1585"/>
    <x v="408"/>
    <x v="3"/>
    <x v="1"/>
    <x v="1584"/>
    <x v="0"/>
    <x v="3"/>
    <x v="1"/>
    <n v="4"/>
    <n v="81"/>
    <n v="324"/>
    <x v="2"/>
  </r>
  <r>
    <n v="1586"/>
    <x v="587"/>
    <x v="4"/>
    <x v="1"/>
    <x v="1585"/>
    <x v="1"/>
    <x v="10"/>
    <x v="0"/>
    <n v="2"/>
    <n v="362"/>
    <n v="724"/>
    <x v="1"/>
  </r>
  <r>
    <n v="1587"/>
    <x v="540"/>
    <x v="7"/>
    <x v="1"/>
    <x v="1586"/>
    <x v="0"/>
    <x v="25"/>
    <x v="0"/>
    <n v="2"/>
    <n v="406"/>
    <n v="812"/>
    <x v="2"/>
  </r>
  <r>
    <n v="1588"/>
    <x v="455"/>
    <x v="11"/>
    <x v="1"/>
    <x v="1587"/>
    <x v="0"/>
    <x v="22"/>
    <x v="0"/>
    <n v="2"/>
    <n v="476"/>
    <n v="952"/>
    <x v="0"/>
  </r>
  <r>
    <n v="1589"/>
    <x v="371"/>
    <x v="3"/>
    <x v="1"/>
    <x v="1588"/>
    <x v="1"/>
    <x v="27"/>
    <x v="0"/>
    <n v="1"/>
    <n v="379"/>
    <n v="379"/>
    <x v="2"/>
  </r>
  <r>
    <n v="1590"/>
    <x v="508"/>
    <x v="8"/>
    <x v="1"/>
    <x v="1589"/>
    <x v="1"/>
    <x v="17"/>
    <x v="0"/>
    <n v="4"/>
    <n v="26"/>
    <n v="104"/>
    <x v="0"/>
  </r>
  <r>
    <n v="1591"/>
    <x v="447"/>
    <x v="2"/>
    <x v="1"/>
    <x v="1590"/>
    <x v="0"/>
    <x v="31"/>
    <x v="2"/>
    <n v="4"/>
    <n v="165"/>
    <n v="660"/>
    <x v="2"/>
  </r>
  <r>
    <n v="1592"/>
    <x v="589"/>
    <x v="10"/>
    <x v="1"/>
    <x v="1591"/>
    <x v="1"/>
    <x v="45"/>
    <x v="2"/>
    <n v="1"/>
    <n v="477"/>
    <n v="477"/>
    <x v="1"/>
  </r>
  <r>
    <n v="1593"/>
    <x v="623"/>
    <x v="1"/>
    <x v="1"/>
    <x v="1592"/>
    <x v="0"/>
    <x v="12"/>
    <x v="2"/>
    <n v="4"/>
    <n v="186"/>
    <n v="744"/>
    <x v="1"/>
  </r>
  <r>
    <n v="1594"/>
    <x v="641"/>
    <x v="6"/>
    <x v="1"/>
    <x v="1593"/>
    <x v="1"/>
    <x v="27"/>
    <x v="2"/>
    <n v="1"/>
    <n v="475"/>
    <n v="475"/>
    <x v="0"/>
  </r>
  <r>
    <n v="1595"/>
    <x v="349"/>
    <x v="7"/>
    <x v="1"/>
    <x v="1594"/>
    <x v="0"/>
    <x v="9"/>
    <x v="0"/>
    <n v="4"/>
    <n v="63"/>
    <n v="252"/>
    <x v="2"/>
  </r>
  <r>
    <n v="1596"/>
    <x v="612"/>
    <x v="4"/>
    <x v="1"/>
    <x v="1595"/>
    <x v="0"/>
    <x v="10"/>
    <x v="2"/>
    <n v="3"/>
    <n v="57"/>
    <n v="171"/>
    <x v="1"/>
  </r>
  <r>
    <n v="1597"/>
    <x v="379"/>
    <x v="0"/>
    <x v="1"/>
    <x v="1596"/>
    <x v="0"/>
    <x v="0"/>
    <x v="2"/>
    <n v="4"/>
    <n v="438"/>
    <n v="1752"/>
    <x v="0"/>
  </r>
  <r>
    <n v="1598"/>
    <x v="184"/>
    <x v="6"/>
    <x v="1"/>
    <x v="1597"/>
    <x v="1"/>
    <x v="22"/>
    <x v="1"/>
    <n v="1"/>
    <n v="267"/>
    <n v="267"/>
    <x v="0"/>
  </r>
  <r>
    <n v="1599"/>
    <x v="642"/>
    <x v="4"/>
    <x v="1"/>
    <x v="1598"/>
    <x v="1"/>
    <x v="21"/>
    <x v="2"/>
    <n v="2"/>
    <n v="62"/>
    <n v="124"/>
    <x v="1"/>
  </r>
  <r>
    <n v="1600"/>
    <x v="643"/>
    <x v="0"/>
    <x v="1"/>
    <x v="1599"/>
    <x v="1"/>
    <x v="1"/>
    <x v="0"/>
    <n v="4"/>
    <n v="321"/>
    <n v="1284"/>
    <x v="0"/>
  </r>
  <r>
    <n v="1601"/>
    <x v="563"/>
    <x v="10"/>
    <x v="1"/>
    <x v="1600"/>
    <x v="0"/>
    <x v="21"/>
    <x v="1"/>
    <n v="4"/>
    <n v="185"/>
    <n v="740"/>
    <x v="1"/>
  </r>
  <r>
    <n v="1602"/>
    <x v="512"/>
    <x v="8"/>
    <x v="1"/>
    <x v="1601"/>
    <x v="0"/>
    <x v="43"/>
    <x v="1"/>
    <n v="4"/>
    <n v="53"/>
    <n v="212"/>
    <x v="0"/>
  </r>
  <r>
    <n v="1603"/>
    <x v="433"/>
    <x v="9"/>
    <x v="1"/>
    <x v="1602"/>
    <x v="1"/>
    <x v="25"/>
    <x v="1"/>
    <n v="1"/>
    <n v="311"/>
    <n v="311"/>
    <x v="1"/>
  </r>
  <r>
    <n v="1604"/>
    <x v="594"/>
    <x v="6"/>
    <x v="1"/>
    <x v="1603"/>
    <x v="1"/>
    <x v="29"/>
    <x v="2"/>
    <n v="1"/>
    <n v="341"/>
    <n v="341"/>
    <x v="0"/>
  </r>
  <r>
    <n v="1605"/>
    <x v="523"/>
    <x v="5"/>
    <x v="1"/>
    <x v="1604"/>
    <x v="0"/>
    <x v="32"/>
    <x v="0"/>
    <n v="1"/>
    <n v="257"/>
    <n v="257"/>
    <x v="2"/>
  </r>
  <r>
    <n v="1606"/>
    <x v="501"/>
    <x v="5"/>
    <x v="1"/>
    <x v="1605"/>
    <x v="1"/>
    <x v="28"/>
    <x v="0"/>
    <n v="1"/>
    <n v="198"/>
    <n v="198"/>
    <x v="2"/>
  </r>
  <r>
    <n v="1607"/>
    <x v="644"/>
    <x v="0"/>
    <x v="1"/>
    <x v="1606"/>
    <x v="0"/>
    <x v="20"/>
    <x v="0"/>
    <n v="3"/>
    <n v="325"/>
    <n v="975"/>
    <x v="0"/>
  </r>
  <r>
    <n v="1608"/>
    <x v="489"/>
    <x v="1"/>
    <x v="1"/>
    <x v="1607"/>
    <x v="0"/>
    <x v="1"/>
    <x v="1"/>
    <n v="1"/>
    <n v="328"/>
    <n v="328"/>
    <x v="1"/>
  </r>
  <r>
    <n v="1609"/>
    <x v="555"/>
    <x v="1"/>
    <x v="1"/>
    <x v="1608"/>
    <x v="0"/>
    <x v="7"/>
    <x v="0"/>
    <n v="3"/>
    <n v="206"/>
    <n v="618"/>
    <x v="1"/>
  </r>
  <r>
    <n v="1610"/>
    <x v="593"/>
    <x v="2"/>
    <x v="1"/>
    <x v="1609"/>
    <x v="1"/>
    <x v="46"/>
    <x v="0"/>
    <n v="4"/>
    <n v="120"/>
    <n v="480"/>
    <x v="2"/>
  </r>
  <r>
    <n v="1611"/>
    <x v="645"/>
    <x v="4"/>
    <x v="1"/>
    <x v="1610"/>
    <x v="0"/>
    <x v="8"/>
    <x v="1"/>
    <n v="2"/>
    <n v="184"/>
    <n v="368"/>
    <x v="1"/>
  </r>
  <r>
    <n v="1612"/>
    <x v="520"/>
    <x v="7"/>
    <x v="1"/>
    <x v="1611"/>
    <x v="1"/>
    <x v="26"/>
    <x v="0"/>
    <n v="3"/>
    <n v="184"/>
    <n v="552"/>
    <x v="2"/>
  </r>
  <r>
    <n v="1613"/>
    <x v="463"/>
    <x v="7"/>
    <x v="1"/>
    <x v="1612"/>
    <x v="0"/>
    <x v="30"/>
    <x v="2"/>
    <n v="3"/>
    <n v="333"/>
    <n v="999"/>
    <x v="2"/>
  </r>
  <r>
    <n v="1614"/>
    <x v="369"/>
    <x v="9"/>
    <x v="1"/>
    <x v="1613"/>
    <x v="1"/>
    <x v="37"/>
    <x v="1"/>
    <n v="2"/>
    <n v="54"/>
    <n v="108"/>
    <x v="1"/>
  </r>
  <r>
    <n v="1615"/>
    <x v="432"/>
    <x v="4"/>
    <x v="1"/>
    <x v="1614"/>
    <x v="0"/>
    <x v="28"/>
    <x v="2"/>
    <n v="2"/>
    <n v="127"/>
    <n v="254"/>
    <x v="1"/>
  </r>
  <r>
    <n v="1616"/>
    <x v="421"/>
    <x v="0"/>
    <x v="1"/>
    <x v="1615"/>
    <x v="0"/>
    <x v="25"/>
    <x v="2"/>
    <n v="2"/>
    <n v="366"/>
    <n v="732"/>
    <x v="0"/>
  </r>
  <r>
    <n v="1617"/>
    <x v="639"/>
    <x v="2"/>
    <x v="1"/>
    <x v="1616"/>
    <x v="1"/>
    <x v="32"/>
    <x v="0"/>
    <n v="3"/>
    <n v="461"/>
    <n v="1383"/>
    <x v="2"/>
  </r>
  <r>
    <n v="1618"/>
    <x v="414"/>
    <x v="7"/>
    <x v="1"/>
    <x v="1617"/>
    <x v="1"/>
    <x v="35"/>
    <x v="2"/>
    <n v="4"/>
    <n v="193"/>
    <n v="772"/>
    <x v="2"/>
  </r>
  <r>
    <n v="1619"/>
    <x v="646"/>
    <x v="10"/>
    <x v="1"/>
    <x v="1618"/>
    <x v="0"/>
    <x v="20"/>
    <x v="1"/>
    <n v="4"/>
    <n v="137"/>
    <n v="548"/>
    <x v="1"/>
  </r>
  <r>
    <n v="1620"/>
    <x v="647"/>
    <x v="6"/>
    <x v="1"/>
    <x v="1619"/>
    <x v="0"/>
    <x v="11"/>
    <x v="1"/>
    <n v="4"/>
    <n v="344"/>
    <n v="1376"/>
    <x v="0"/>
  </r>
  <r>
    <n v="1621"/>
    <x v="509"/>
    <x v="1"/>
    <x v="1"/>
    <x v="1620"/>
    <x v="0"/>
    <x v="40"/>
    <x v="0"/>
    <n v="3"/>
    <n v="438"/>
    <n v="1314"/>
    <x v="1"/>
  </r>
  <r>
    <n v="1622"/>
    <x v="429"/>
    <x v="5"/>
    <x v="1"/>
    <x v="1621"/>
    <x v="0"/>
    <x v="13"/>
    <x v="1"/>
    <n v="1"/>
    <n v="210"/>
    <n v="210"/>
    <x v="2"/>
  </r>
  <r>
    <n v="1623"/>
    <x v="468"/>
    <x v="6"/>
    <x v="1"/>
    <x v="1622"/>
    <x v="0"/>
    <x v="5"/>
    <x v="1"/>
    <n v="1"/>
    <n v="97"/>
    <n v="97"/>
    <x v="0"/>
  </r>
  <r>
    <n v="1624"/>
    <x v="419"/>
    <x v="4"/>
    <x v="1"/>
    <x v="1623"/>
    <x v="1"/>
    <x v="27"/>
    <x v="0"/>
    <n v="3"/>
    <n v="47"/>
    <n v="141"/>
    <x v="1"/>
  </r>
  <r>
    <n v="1625"/>
    <x v="648"/>
    <x v="6"/>
    <x v="1"/>
    <x v="1624"/>
    <x v="0"/>
    <x v="27"/>
    <x v="2"/>
    <n v="2"/>
    <n v="137"/>
    <n v="274"/>
    <x v="0"/>
  </r>
  <r>
    <n v="1626"/>
    <x v="552"/>
    <x v="4"/>
    <x v="1"/>
    <x v="1625"/>
    <x v="0"/>
    <x v="44"/>
    <x v="0"/>
    <n v="2"/>
    <n v="116"/>
    <n v="232"/>
    <x v="1"/>
  </r>
  <r>
    <n v="1627"/>
    <x v="649"/>
    <x v="1"/>
    <x v="1"/>
    <x v="1626"/>
    <x v="0"/>
    <x v="36"/>
    <x v="2"/>
    <n v="1"/>
    <n v="35"/>
    <n v="35"/>
    <x v="1"/>
  </r>
  <r>
    <n v="1628"/>
    <x v="575"/>
    <x v="8"/>
    <x v="1"/>
    <x v="1627"/>
    <x v="0"/>
    <x v="29"/>
    <x v="0"/>
    <n v="1"/>
    <n v="198"/>
    <n v="198"/>
    <x v="0"/>
  </r>
  <r>
    <n v="1629"/>
    <x v="439"/>
    <x v="1"/>
    <x v="1"/>
    <x v="1628"/>
    <x v="1"/>
    <x v="20"/>
    <x v="1"/>
    <n v="3"/>
    <n v="439"/>
    <n v="1317"/>
    <x v="1"/>
  </r>
  <r>
    <n v="1630"/>
    <x v="538"/>
    <x v="5"/>
    <x v="1"/>
    <x v="1629"/>
    <x v="0"/>
    <x v="18"/>
    <x v="0"/>
    <n v="4"/>
    <n v="474"/>
    <n v="1896"/>
    <x v="2"/>
  </r>
  <r>
    <n v="1631"/>
    <x v="404"/>
    <x v="8"/>
    <x v="1"/>
    <x v="1630"/>
    <x v="0"/>
    <x v="41"/>
    <x v="1"/>
    <n v="2"/>
    <n v="431"/>
    <n v="862"/>
    <x v="0"/>
  </r>
  <r>
    <n v="1632"/>
    <x v="503"/>
    <x v="1"/>
    <x v="1"/>
    <x v="1631"/>
    <x v="0"/>
    <x v="6"/>
    <x v="2"/>
    <n v="3"/>
    <n v="187"/>
    <n v="561"/>
    <x v="1"/>
  </r>
  <r>
    <n v="1633"/>
    <x v="650"/>
    <x v="0"/>
    <x v="1"/>
    <x v="1632"/>
    <x v="1"/>
    <x v="7"/>
    <x v="1"/>
    <n v="1"/>
    <n v="415"/>
    <n v="415"/>
    <x v="0"/>
  </r>
  <r>
    <n v="1634"/>
    <x v="462"/>
    <x v="0"/>
    <x v="1"/>
    <x v="1633"/>
    <x v="0"/>
    <x v="6"/>
    <x v="2"/>
    <n v="2"/>
    <n v="192"/>
    <n v="384"/>
    <x v="0"/>
  </r>
  <r>
    <n v="1635"/>
    <x v="377"/>
    <x v="4"/>
    <x v="1"/>
    <x v="1634"/>
    <x v="0"/>
    <x v="7"/>
    <x v="2"/>
    <n v="2"/>
    <n v="460"/>
    <n v="920"/>
    <x v="1"/>
  </r>
  <r>
    <n v="1636"/>
    <x v="637"/>
    <x v="3"/>
    <x v="1"/>
    <x v="1635"/>
    <x v="1"/>
    <x v="4"/>
    <x v="0"/>
    <n v="1"/>
    <n v="426"/>
    <n v="426"/>
    <x v="2"/>
  </r>
  <r>
    <n v="1637"/>
    <x v="606"/>
    <x v="2"/>
    <x v="1"/>
    <x v="1636"/>
    <x v="0"/>
    <x v="10"/>
    <x v="0"/>
    <n v="4"/>
    <n v="409"/>
    <n v="1636"/>
    <x v="2"/>
  </r>
  <r>
    <n v="1638"/>
    <x v="495"/>
    <x v="0"/>
    <x v="1"/>
    <x v="1637"/>
    <x v="1"/>
    <x v="45"/>
    <x v="0"/>
    <n v="4"/>
    <n v="116"/>
    <n v="464"/>
    <x v="0"/>
  </r>
  <r>
    <n v="1639"/>
    <x v="364"/>
    <x v="9"/>
    <x v="1"/>
    <x v="1638"/>
    <x v="1"/>
    <x v="18"/>
    <x v="0"/>
    <n v="4"/>
    <n v="391"/>
    <n v="1564"/>
    <x v="1"/>
  </r>
  <r>
    <n v="1640"/>
    <x v="526"/>
    <x v="3"/>
    <x v="1"/>
    <x v="1639"/>
    <x v="1"/>
    <x v="12"/>
    <x v="0"/>
    <n v="4"/>
    <n v="351"/>
    <n v="1404"/>
    <x v="2"/>
  </r>
  <r>
    <n v="1641"/>
    <x v="463"/>
    <x v="7"/>
    <x v="1"/>
    <x v="1640"/>
    <x v="0"/>
    <x v="4"/>
    <x v="1"/>
    <n v="2"/>
    <n v="256"/>
    <n v="512"/>
    <x v="2"/>
  </r>
  <r>
    <n v="1642"/>
    <x v="514"/>
    <x v="1"/>
    <x v="1"/>
    <x v="1641"/>
    <x v="1"/>
    <x v="4"/>
    <x v="2"/>
    <n v="4"/>
    <n v="480"/>
    <n v="1920"/>
    <x v="1"/>
  </r>
  <r>
    <n v="1643"/>
    <x v="629"/>
    <x v="5"/>
    <x v="1"/>
    <x v="1642"/>
    <x v="0"/>
    <x v="37"/>
    <x v="2"/>
    <n v="1"/>
    <n v="93"/>
    <n v="93"/>
    <x v="2"/>
  </r>
  <r>
    <n v="1644"/>
    <x v="577"/>
    <x v="11"/>
    <x v="1"/>
    <x v="1643"/>
    <x v="1"/>
    <x v="24"/>
    <x v="0"/>
    <n v="3"/>
    <n v="142"/>
    <n v="426"/>
    <x v="0"/>
  </r>
  <r>
    <n v="1645"/>
    <x v="463"/>
    <x v="7"/>
    <x v="1"/>
    <x v="1644"/>
    <x v="0"/>
    <x v="20"/>
    <x v="0"/>
    <n v="3"/>
    <n v="243"/>
    <n v="729"/>
    <x v="2"/>
  </r>
  <r>
    <n v="1646"/>
    <x v="573"/>
    <x v="2"/>
    <x v="1"/>
    <x v="1645"/>
    <x v="1"/>
    <x v="28"/>
    <x v="2"/>
    <n v="3"/>
    <n v="436"/>
    <n v="1308"/>
    <x v="2"/>
  </r>
  <r>
    <n v="1647"/>
    <x v="572"/>
    <x v="3"/>
    <x v="1"/>
    <x v="1646"/>
    <x v="1"/>
    <x v="12"/>
    <x v="2"/>
    <n v="1"/>
    <n v="116"/>
    <n v="116"/>
    <x v="2"/>
  </r>
  <r>
    <n v="1648"/>
    <x v="560"/>
    <x v="2"/>
    <x v="1"/>
    <x v="1647"/>
    <x v="0"/>
    <x v="22"/>
    <x v="0"/>
    <n v="1"/>
    <n v="208"/>
    <n v="208"/>
    <x v="2"/>
  </r>
  <r>
    <n v="1649"/>
    <x v="358"/>
    <x v="11"/>
    <x v="1"/>
    <x v="1648"/>
    <x v="1"/>
    <x v="26"/>
    <x v="0"/>
    <n v="1"/>
    <n v="427"/>
    <n v="427"/>
    <x v="0"/>
  </r>
  <r>
    <n v="1650"/>
    <x v="491"/>
    <x v="4"/>
    <x v="1"/>
    <x v="1649"/>
    <x v="0"/>
    <x v="1"/>
    <x v="1"/>
    <n v="1"/>
    <n v="209"/>
    <n v="209"/>
    <x v="1"/>
  </r>
  <r>
    <n v="1651"/>
    <x v="347"/>
    <x v="6"/>
    <x v="1"/>
    <x v="1650"/>
    <x v="0"/>
    <x v="44"/>
    <x v="1"/>
    <n v="3"/>
    <n v="153"/>
    <n v="459"/>
    <x v="0"/>
  </r>
  <r>
    <n v="1652"/>
    <x v="433"/>
    <x v="9"/>
    <x v="1"/>
    <x v="1651"/>
    <x v="1"/>
    <x v="27"/>
    <x v="0"/>
    <n v="2"/>
    <n v="462"/>
    <n v="924"/>
    <x v="1"/>
  </r>
  <r>
    <n v="1653"/>
    <x v="651"/>
    <x v="7"/>
    <x v="1"/>
    <x v="1652"/>
    <x v="1"/>
    <x v="3"/>
    <x v="2"/>
    <n v="3"/>
    <n v="446"/>
    <n v="1338"/>
    <x v="2"/>
  </r>
  <r>
    <n v="1654"/>
    <x v="535"/>
    <x v="9"/>
    <x v="1"/>
    <x v="1653"/>
    <x v="1"/>
    <x v="13"/>
    <x v="0"/>
    <n v="1"/>
    <n v="266"/>
    <n v="266"/>
    <x v="1"/>
  </r>
  <r>
    <n v="1655"/>
    <x v="384"/>
    <x v="0"/>
    <x v="1"/>
    <x v="1654"/>
    <x v="0"/>
    <x v="13"/>
    <x v="1"/>
    <n v="2"/>
    <n v="395"/>
    <n v="790"/>
    <x v="0"/>
  </r>
  <r>
    <n v="1656"/>
    <x v="439"/>
    <x v="1"/>
    <x v="1"/>
    <x v="1655"/>
    <x v="1"/>
    <x v="9"/>
    <x v="0"/>
    <n v="4"/>
    <n v="394"/>
    <n v="1576"/>
    <x v="1"/>
  </r>
  <r>
    <n v="1657"/>
    <x v="524"/>
    <x v="2"/>
    <x v="1"/>
    <x v="1656"/>
    <x v="1"/>
    <x v="16"/>
    <x v="2"/>
    <n v="2"/>
    <n v="244"/>
    <n v="488"/>
    <x v="2"/>
  </r>
  <r>
    <n v="1658"/>
    <x v="360"/>
    <x v="8"/>
    <x v="1"/>
    <x v="1657"/>
    <x v="1"/>
    <x v="4"/>
    <x v="2"/>
    <n v="4"/>
    <n v="461"/>
    <n v="1844"/>
    <x v="0"/>
  </r>
  <r>
    <n v="1659"/>
    <x v="598"/>
    <x v="7"/>
    <x v="1"/>
    <x v="1658"/>
    <x v="0"/>
    <x v="37"/>
    <x v="1"/>
    <n v="2"/>
    <n v="181"/>
    <n v="362"/>
    <x v="2"/>
  </r>
  <r>
    <n v="1660"/>
    <x v="487"/>
    <x v="6"/>
    <x v="1"/>
    <x v="1659"/>
    <x v="1"/>
    <x v="33"/>
    <x v="2"/>
    <n v="3"/>
    <n v="140"/>
    <n v="420"/>
    <x v="0"/>
  </r>
  <r>
    <n v="1661"/>
    <x v="652"/>
    <x v="2"/>
    <x v="1"/>
    <x v="1660"/>
    <x v="1"/>
    <x v="17"/>
    <x v="2"/>
    <n v="3"/>
    <n v="191"/>
    <n v="573"/>
    <x v="2"/>
  </r>
  <r>
    <n v="1662"/>
    <x v="653"/>
    <x v="7"/>
    <x v="1"/>
    <x v="1661"/>
    <x v="0"/>
    <x v="42"/>
    <x v="1"/>
    <n v="2"/>
    <n v="103"/>
    <n v="206"/>
    <x v="2"/>
  </r>
  <r>
    <n v="1663"/>
    <x v="370"/>
    <x v="9"/>
    <x v="1"/>
    <x v="1662"/>
    <x v="1"/>
    <x v="29"/>
    <x v="1"/>
    <n v="4"/>
    <n v="57"/>
    <n v="228"/>
    <x v="1"/>
  </r>
  <r>
    <n v="1664"/>
    <x v="502"/>
    <x v="3"/>
    <x v="1"/>
    <x v="1663"/>
    <x v="1"/>
    <x v="27"/>
    <x v="2"/>
    <n v="1"/>
    <n v="193"/>
    <n v="193"/>
    <x v="2"/>
  </r>
  <r>
    <n v="1665"/>
    <x v="424"/>
    <x v="7"/>
    <x v="1"/>
    <x v="1664"/>
    <x v="1"/>
    <x v="7"/>
    <x v="2"/>
    <n v="1"/>
    <n v="112"/>
    <n v="112"/>
    <x v="2"/>
  </r>
  <r>
    <n v="1666"/>
    <x v="488"/>
    <x v="11"/>
    <x v="1"/>
    <x v="1665"/>
    <x v="0"/>
    <x v="8"/>
    <x v="0"/>
    <n v="4"/>
    <n v="38"/>
    <n v="152"/>
    <x v="0"/>
  </r>
  <r>
    <n v="1667"/>
    <x v="614"/>
    <x v="1"/>
    <x v="1"/>
    <x v="1666"/>
    <x v="0"/>
    <x v="25"/>
    <x v="2"/>
    <n v="3"/>
    <n v="130"/>
    <n v="390"/>
    <x v="1"/>
  </r>
  <r>
    <n v="1668"/>
    <x v="634"/>
    <x v="1"/>
    <x v="1"/>
    <x v="1667"/>
    <x v="1"/>
    <x v="33"/>
    <x v="0"/>
    <n v="1"/>
    <n v="257"/>
    <n v="257"/>
    <x v="1"/>
  </r>
  <r>
    <n v="1669"/>
    <x v="418"/>
    <x v="6"/>
    <x v="1"/>
    <x v="1668"/>
    <x v="1"/>
    <x v="18"/>
    <x v="1"/>
    <n v="2"/>
    <n v="192"/>
    <n v="384"/>
    <x v="0"/>
  </r>
  <r>
    <n v="1670"/>
    <x v="523"/>
    <x v="5"/>
    <x v="1"/>
    <x v="1669"/>
    <x v="1"/>
    <x v="10"/>
    <x v="1"/>
    <n v="2"/>
    <n v="299"/>
    <n v="598"/>
    <x v="2"/>
  </r>
  <r>
    <n v="1671"/>
    <x v="652"/>
    <x v="2"/>
    <x v="1"/>
    <x v="1670"/>
    <x v="1"/>
    <x v="25"/>
    <x v="2"/>
    <n v="2"/>
    <n v="91"/>
    <n v="182"/>
    <x v="2"/>
  </r>
  <r>
    <n v="1672"/>
    <x v="537"/>
    <x v="1"/>
    <x v="1"/>
    <x v="1671"/>
    <x v="1"/>
    <x v="28"/>
    <x v="0"/>
    <n v="4"/>
    <n v="106"/>
    <n v="424"/>
    <x v="1"/>
  </r>
  <r>
    <n v="1673"/>
    <x v="654"/>
    <x v="0"/>
    <x v="1"/>
    <x v="1672"/>
    <x v="1"/>
    <x v="15"/>
    <x v="1"/>
    <n v="4"/>
    <n v="166"/>
    <n v="664"/>
    <x v="0"/>
  </r>
  <r>
    <n v="1674"/>
    <x v="434"/>
    <x v="1"/>
    <x v="1"/>
    <x v="1673"/>
    <x v="0"/>
    <x v="30"/>
    <x v="2"/>
    <n v="1"/>
    <n v="447"/>
    <n v="447"/>
    <x v="1"/>
  </r>
  <r>
    <n v="1675"/>
    <x v="359"/>
    <x v="5"/>
    <x v="1"/>
    <x v="1674"/>
    <x v="0"/>
    <x v="18"/>
    <x v="2"/>
    <n v="4"/>
    <n v="260"/>
    <n v="1040"/>
    <x v="2"/>
  </r>
  <r>
    <n v="1676"/>
    <x v="524"/>
    <x v="2"/>
    <x v="1"/>
    <x v="1675"/>
    <x v="0"/>
    <x v="16"/>
    <x v="2"/>
    <n v="4"/>
    <n v="202"/>
    <n v="808"/>
    <x v="2"/>
  </r>
  <r>
    <n v="1677"/>
    <x v="655"/>
    <x v="8"/>
    <x v="1"/>
    <x v="1676"/>
    <x v="1"/>
    <x v="13"/>
    <x v="0"/>
    <n v="2"/>
    <n v="237"/>
    <n v="474"/>
    <x v="0"/>
  </r>
  <r>
    <n v="1678"/>
    <x v="612"/>
    <x v="4"/>
    <x v="1"/>
    <x v="1677"/>
    <x v="0"/>
    <x v="35"/>
    <x v="0"/>
    <n v="4"/>
    <n v="259"/>
    <n v="1036"/>
    <x v="1"/>
  </r>
  <r>
    <n v="1679"/>
    <x v="501"/>
    <x v="5"/>
    <x v="1"/>
    <x v="1678"/>
    <x v="0"/>
    <x v="11"/>
    <x v="0"/>
    <n v="1"/>
    <n v="226"/>
    <n v="226"/>
    <x v="2"/>
  </r>
  <r>
    <n v="1680"/>
    <x v="360"/>
    <x v="8"/>
    <x v="1"/>
    <x v="1679"/>
    <x v="0"/>
    <x v="14"/>
    <x v="1"/>
    <n v="3"/>
    <n v="476"/>
    <n v="1428"/>
    <x v="0"/>
  </r>
  <r>
    <n v="1681"/>
    <x v="529"/>
    <x v="0"/>
    <x v="1"/>
    <x v="1680"/>
    <x v="1"/>
    <x v="33"/>
    <x v="1"/>
    <n v="2"/>
    <n v="490"/>
    <n v="980"/>
    <x v="0"/>
  </r>
  <r>
    <n v="1682"/>
    <x v="408"/>
    <x v="3"/>
    <x v="1"/>
    <x v="1681"/>
    <x v="1"/>
    <x v="2"/>
    <x v="1"/>
    <n v="3"/>
    <n v="64"/>
    <n v="192"/>
    <x v="2"/>
  </r>
  <r>
    <n v="1683"/>
    <x v="488"/>
    <x v="11"/>
    <x v="1"/>
    <x v="1682"/>
    <x v="1"/>
    <x v="38"/>
    <x v="2"/>
    <n v="2"/>
    <n v="154"/>
    <n v="308"/>
    <x v="0"/>
  </r>
  <r>
    <n v="1684"/>
    <x v="548"/>
    <x v="1"/>
    <x v="1"/>
    <x v="1683"/>
    <x v="0"/>
    <x v="20"/>
    <x v="1"/>
    <n v="1"/>
    <n v="352"/>
    <n v="352"/>
    <x v="1"/>
  </r>
  <r>
    <n v="1685"/>
    <x v="512"/>
    <x v="8"/>
    <x v="1"/>
    <x v="1684"/>
    <x v="1"/>
    <x v="29"/>
    <x v="2"/>
    <n v="4"/>
    <n v="463"/>
    <n v="1852"/>
    <x v="0"/>
  </r>
  <r>
    <n v="1686"/>
    <x v="555"/>
    <x v="1"/>
    <x v="1"/>
    <x v="1685"/>
    <x v="1"/>
    <x v="8"/>
    <x v="1"/>
    <n v="3"/>
    <n v="83"/>
    <n v="249"/>
    <x v="1"/>
  </r>
  <r>
    <n v="1687"/>
    <x v="534"/>
    <x v="8"/>
    <x v="1"/>
    <x v="1686"/>
    <x v="0"/>
    <x v="31"/>
    <x v="0"/>
    <n v="4"/>
    <n v="273"/>
    <n v="1092"/>
    <x v="0"/>
  </r>
  <r>
    <n v="1688"/>
    <x v="524"/>
    <x v="2"/>
    <x v="1"/>
    <x v="1687"/>
    <x v="0"/>
    <x v="16"/>
    <x v="0"/>
    <n v="2"/>
    <n v="390"/>
    <n v="780"/>
    <x v="2"/>
  </r>
  <r>
    <n v="1689"/>
    <x v="618"/>
    <x v="2"/>
    <x v="1"/>
    <x v="1688"/>
    <x v="0"/>
    <x v="40"/>
    <x v="2"/>
    <n v="2"/>
    <n v="112"/>
    <n v="224"/>
    <x v="2"/>
  </r>
  <r>
    <n v="1690"/>
    <x v="583"/>
    <x v="6"/>
    <x v="1"/>
    <x v="1689"/>
    <x v="0"/>
    <x v="36"/>
    <x v="2"/>
    <n v="1"/>
    <n v="298"/>
    <n v="298"/>
    <x v="0"/>
  </r>
  <r>
    <n v="1691"/>
    <x v="499"/>
    <x v="5"/>
    <x v="1"/>
    <x v="1690"/>
    <x v="0"/>
    <x v="25"/>
    <x v="0"/>
    <n v="1"/>
    <n v="371"/>
    <n v="371"/>
    <x v="2"/>
  </r>
  <r>
    <n v="1692"/>
    <x v="549"/>
    <x v="4"/>
    <x v="1"/>
    <x v="1691"/>
    <x v="0"/>
    <x v="24"/>
    <x v="2"/>
    <n v="2"/>
    <n v="135"/>
    <n v="270"/>
    <x v="1"/>
  </r>
  <r>
    <n v="1693"/>
    <x v="453"/>
    <x v="8"/>
    <x v="1"/>
    <x v="1692"/>
    <x v="0"/>
    <x v="17"/>
    <x v="0"/>
    <n v="2"/>
    <n v="251"/>
    <n v="502"/>
    <x v="0"/>
  </r>
  <r>
    <n v="1694"/>
    <x v="656"/>
    <x v="8"/>
    <x v="1"/>
    <x v="1693"/>
    <x v="0"/>
    <x v="7"/>
    <x v="0"/>
    <n v="1"/>
    <n v="224"/>
    <n v="224"/>
    <x v="0"/>
  </r>
  <r>
    <n v="1695"/>
    <x v="620"/>
    <x v="8"/>
    <x v="1"/>
    <x v="1694"/>
    <x v="1"/>
    <x v="24"/>
    <x v="1"/>
    <n v="1"/>
    <n v="49"/>
    <n v="49"/>
    <x v="0"/>
  </r>
  <r>
    <n v="1696"/>
    <x v="629"/>
    <x v="5"/>
    <x v="1"/>
    <x v="1695"/>
    <x v="0"/>
    <x v="14"/>
    <x v="2"/>
    <n v="2"/>
    <n v="127"/>
    <n v="254"/>
    <x v="2"/>
  </r>
  <r>
    <n v="1697"/>
    <x v="657"/>
    <x v="11"/>
    <x v="1"/>
    <x v="1696"/>
    <x v="0"/>
    <x v="38"/>
    <x v="1"/>
    <n v="1"/>
    <n v="197"/>
    <n v="197"/>
    <x v="0"/>
  </r>
  <r>
    <n v="1698"/>
    <x v="489"/>
    <x v="1"/>
    <x v="1"/>
    <x v="1697"/>
    <x v="0"/>
    <x v="9"/>
    <x v="1"/>
    <n v="2"/>
    <n v="395"/>
    <n v="790"/>
    <x v="1"/>
  </r>
  <r>
    <n v="1699"/>
    <x v="396"/>
    <x v="10"/>
    <x v="1"/>
    <x v="1698"/>
    <x v="0"/>
    <x v="38"/>
    <x v="0"/>
    <n v="1"/>
    <n v="442"/>
    <n v="442"/>
    <x v="1"/>
  </r>
  <r>
    <n v="1700"/>
    <x v="658"/>
    <x v="9"/>
    <x v="1"/>
    <x v="1699"/>
    <x v="1"/>
    <x v="2"/>
    <x v="0"/>
    <n v="2"/>
    <n v="344"/>
    <n v="688"/>
    <x v="1"/>
  </r>
  <r>
    <n v="1701"/>
    <x v="548"/>
    <x v="1"/>
    <x v="1"/>
    <x v="1700"/>
    <x v="1"/>
    <x v="28"/>
    <x v="1"/>
    <n v="2"/>
    <n v="134"/>
    <n v="268"/>
    <x v="1"/>
  </r>
  <r>
    <n v="1702"/>
    <x v="659"/>
    <x v="11"/>
    <x v="1"/>
    <x v="1701"/>
    <x v="1"/>
    <x v="31"/>
    <x v="1"/>
    <n v="1"/>
    <n v="230"/>
    <n v="230"/>
    <x v="0"/>
  </r>
  <r>
    <n v="1703"/>
    <x v="384"/>
    <x v="0"/>
    <x v="1"/>
    <x v="1702"/>
    <x v="1"/>
    <x v="3"/>
    <x v="2"/>
    <n v="2"/>
    <n v="259"/>
    <n v="518"/>
    <x v="0"/>
  </r>
  <r>
    <n v="1704"/>
    <x v="660"/>
    <x v="1"/>
    <x v="1"/>
    <x v="1703"/>
    <x v="0"/>
    <x v="33"/>
    <x v="2"/>
    <n v="3"/>
    <n v="47"/>
    <n v="141"/>
    <x v="1"/>
  </r>
  <r>
    <n v="1705"/>
    <x v="422"/>
    <x v="11"/>
    <x v="1"/>
    <x v="1704"/>
    <x v="0"/>
    <x v="38"/>
    <x v="2"/>
    <n v="4"/>
    <n v="77"/>
    <n v="308"/>
    <x v="0"/>
  </r>
  <r>
    <n v="1706"/>
    <x v="404"/>
    <x v="8"/>
    <x v="1"/>
    <x v="1705"/>
    <x v="0"/>
    <x v="22"/>
    <x v="1"/>
    <n v="3"/>
    <n v="348"/>
    <n v="1044"/>
    <x v="0"/>
  </r>
  <r>
    <n v="1707"/>
    <x v="656"/>
    <x v="8"/>
    <x v="1"/>
    <x v="1706"/>
    <x v="1"/>
    <x v="17"/>
    <x v="0"/>
    <n v="2"/>
    <n v="195"/>
    <n v="390"/>
    <x v="0"/>
  </r>
  <r>
    <n v="1708"/>
    <x v="480"/>
    <x v="10"/>
    <x v="1"/>
    <x v="1707"/>
    <x v="1"/>
    <x v="33"/>
    <x v="2"/>
    <n v="1"/>
    <n v="196"/>
    <n v="196"/>
    <x v="1"/>
  </r>
  <r>
    <n v="1709"/>
    <x v="583"/>
    <x v="6"/>
    <x v="1"/>
    <x v="1708"/>
    <x v="1"/>
    <x v="29"/>
    <x v="0"/>
    <n v="2"/>
    <n v="282"/>
    <n v="564"/>
    <x v="0"/>
  </r>
  <r>
    <n v="1710"/>
    <x v="653"/>
    <x v="7"/>
    <x v="1"/>
    <x v="1709"/>
    <x v="0"/>
    <x v="9"/>
    <x v="1"/>
    <n v="1"/>
    <n v="183"/>
    <n v="183"/>
    <x v="2"/>
  </r>
  <r>
    <n v="1711"/>
    <x v="432"/>
    <x v="4"/>
    <x v="1"/>
    <x v="1710"/>
    <x v="1"/>
    <x v="14"/>
    <x v="0"/>
    <n v="1"/>
    <n v="55"/>
    <n v="55"/>
    <x v="1"/>
  </r>
  <r>
    <n v="1712"/>
    <x v="385"/>
    <x v="10"/>
    <x v="1"/>
    <x v="1711"/>
    <x v="1"/>
    <x v="45"/>
    <x v="2"/>
    <n v="2"/>
    <n v="102"/>
    <n v="204"/>
    <x v="1"/>
  </r>
  <r>
    <n v="1713"/>
    <x v="429"/>
    <x v="5"/>
    <x v="1"/>
    <x v="1712"/>
    <x v="0"/>
    <x v="19"/>
    <x v="1"/>
    <n v="2"/>
    <n v="497"/>
    <n v="994"/>
    <x v="2"/>
  </r>
  <r>
    <n v="1714"/>
    <x v="650"/>
    <x v="0"/>
    <x v="1"/>
    <x v="1713"/>
    <x v="1"/>
    <x v="44"/>
    <x v="1"/>
    <n v="3"/>
    <n v="187"/>
    <n v="561"/>
    <x v="0"/>
  </r>
  <r>
    <n v="1715"/>
    <x v="568"/>
    <x v="0"/>
    <x v="1"/>
    <x v="1714"/>
    <x v="0"/>
    <x v="18"/>
    <x v="2"/>
    <n v="3"/>
    <n v="409"/>
    <n v="1227"/>
    <x v="0"/>
  </r>
  <r>
    <n v="1716"/>
    <x v="184"/>
    <x v="6"/>
    <x v="1"/>
    <x v="1715"/>
    <x v="0"/>
    <x v="46"/>
    <x v="2"/>
    <n v="3"/>
    <n v="149"/>
    <n v="447"/>
    <x v="0"/>
  </r>
  <r>
    <n v="1717"/>
    <x v="537"/>
    <x v="1"/>
    <x v="1"/>
    <x v="1716"/>
    <x v="0"/>
    <x v="33"/>
    <x v="1"/>
    <n v="2"/>
    <n v="336"/>
    <n v="672"/>
    <x v="1"/>
  </r>
  <r>
    <n v="1718"/>
    <x v="382"/>
    <x v="5"/>
    <x v="1"/>
    <x v="1717"/>
    <x v="1"/>
    <x v="36"/>
    <x v="2"/>
    <n v="1"/>
    <n v="58"/>
    <n v="58"/>
    <x v="2"/>
  </r>
  <r>
    <n v="1719"/>
    <x v="592"/>
    <x v="3"/>
    <x v="1"/>
    <x v="1718"/>
    <x v="0"/>
    <x v="27"/>
    <x v="1"/>
    <n v="2"/>
    <n v="129"/>
    <n v="258"/>
    <x v="2"/>
  </r>
  <r>
    <n v="1720"/>
    <x v="661"/>
    <x v="10"/>
    <x v="1"/>
    <x v="1719"/>
    <x v="0"/>
    <x v="36"/>
    <x v="0"/>
    <n v="2"/>
    <n v="145"/>
    <n v="290"/>
    <x v="1"/>
  </r>
  <r>
    <n v="1721"/>
    <x v="662"/>
    <x v="3"/>
    <x v="1"/>
    <x v="1720"/>
    <x v="0"/>
    <x v="28"/>
    <x v="0"/>
    <n v="4"/>
    <n v="184"/>
    <n v="736"/>
    <x v="2"/>
  </r>
  <r>
    <n v="1722"/>
    <x v="624"/>
    <x v="10"/>
    <x v="1"/>
    <x v="1721"/>
    <x v="0"/>
    <x v="14"/>
    <x v="2"/>
    <n v="2"/>
    <n v="335"/>
    <n v="670"/>
    <x v="1"/>
  </r>
  <r>
    <n v="1723"/>
    <x v="612"/>
    <x v="4"/>
    <x v="1"/>
    <x v="1722"/>
    <x v="1"/>
    <x v="39"/>
    <x v="0"/>
    <n v="4"/>
    <n v="350"/>
    <n v="1400"/>
    <x v="1"/>
  </r>
  <r>
    <n v="1724"/>
    <x v="434"/>
    <x v="1"/>
    <x v="1"/>
    <x v="1723"/>
    <x v="1"/>
    <x v="40"/>
    <x v="1"/>
    <n v="3"/>
    <n v="228"/>
    <n v="684"/>
    <x v="1"/>
  </r>
  <r>
    <n v="1725"/>
    <x v="629"/>
    <x v="5"/>
    <x v="1"/>
    <x v="1724"/>
    <x v="0"/>
    <x v="40"/>
    <x v="2"/>
    <n v="4"/>
    <n v="283"/>
    <n v="1132"/>
    <x v="2"/>
  </r>
  <r>
    <n v="1726"/>
    <x v="474"/>
    <x v="0"/>
    <x v="1"/>
    <x v="1725"/>
    <x v="1"/>
    <x v="30"/>
    <x v="2"/>
    <n v="1"/>
    <n v="415"/>
    <n v="415"/>
    <x v="0"/>
  </r>
  <r>
    <n v="1727"/>
    <x v="382"/>
    <x v="5"/>
    <x v="1"/>
    <x v="1726"/>
    <x v="1"/>
    <x v="16"/>
    <x v="2"/>
    <n v="2"/>
    <n v="308"/>
    <n v="616"/>
    <x v="2"/>
  </r>
  <r>
    <n v="1728"/>
    <x v="480"/>
    <x v="10"/>
    <x v="1"/>
    <x v="1727"/>
    <x v="1"/>
    <x v="29"/>
    <x v="2"/>
    <n v="3"/>
    <n v="257"/>
    <n v="771"/>
    <x v="1"/>
  </r>
  <r>
    <n v="1729"/>
    <x v="565"/>
    <x v="4"/>
    <x v="1"/>
    <x v="1728"/>
    <x v="1"/>
    <x v="2"/>
    <x v="0"/>
    <n v="4"/>
    <n v="61"/>
    <n v="244"/>
    <x v="1"/>
  </r>
  <r>
    <n v="1730"/>
    <x v="493"/>
    <x v="9"/>
    <x v="1"/>
    <x v="1729"/>
    <x v="0"/>
    <x v="23"/>
    <x v="2"/>
    <n v="2"/>
    <n v="104"/>
    <n v="208"/>
    <x v="1"/>
  </r>
  <r>
    <n v="1731"/>
    <x v="503"/>
    <x v="1"/>
    <x v="1"/>
    <x v="1730"/>
    <x v="0"/>
    <x v="3"/>
    <x v="0"/>
    <n v="3"/>
    <n v="276"/>
    <n v="828"/>
    <x v="1"/>
  </r>
  <r>
    <n v="1732"/>
    <x v="663"/>
    <x v="5"/>
    <x v="1"/>
    <x v="1731"/>
    <x v="1"/>
    <x v="13"/>
    <x v="0"/>
    <n v="3"/>
    <n v="221"/>
    <n v="663"/>
    <x v="2"/>
  </r>
  <r>
    <n v="1733"/>
    <x v="632"/>
    <x v="3"/>
    <x v="1"/>
    <x v="1732"/>
    <x v="1"/>
    <x v="19"/>
    <x v="0"/>
    <n v="1"/>
    <n v="234"/>
    <n v="234"/>
    <x v="2"/>
  </r>
  <r>
    <n v="1734"/>
    <x v="347"/>
    <x v="6"/>
    <x v="1"/>
    <x v="1733"/>
    <x v="0"/>
    <x v="29"/>
    <x v="0"/>
    <n v="2"/>
    <n v="124"/>
    <n v="248"/>
    <x v="0"/>
  </r>
  <r>
    <n v="1735"/>
    <x v="500"/>
    <x v="2"/>
    <x v="1"/>
    <x v="1734"/>
    <x v="1"/>
    <x v="46"/>
    <x v="2"/>
    <n v="4"/>
    <n v="350"/>
    <n v="1400"/>
    <x v="2"/>
  </r>
  <r>
    <n v="439"/>
    <x v="153"/>
    <x v="1"/>
    <x v="0"/>
    <x v="1735"/>
    <x v="1"/>
    <x v="23"/>
    <x v="1"/>
    <n v="4"/>
    <n v="493"/>
    <n v="1972"/>
    <x v="1"/>
  </r>
  <r>
    <n v="1737"/>
    <x v="547"/>
    <x v="2"/>
    <x v="1"/>
    <x v="1736"/>
    <x v="0"/>
    <x v="14"/>
    <x v="2"/>
    <n v="1"/>
    <n v="496"/>
    <n v="496"/>
    <x v="2"/>
  </r>
  <r>
    <n v="1738"/>
    <x v="515"/>
    <x v="5"/>
    <x v="1"/>
    <x v="1737"/>
    <x v="0"/>
    <x v="11"/>
    <x v="0"/>
    <n v="2"/>
    <n v="158"/>
    <n v="316"/>
    <x v="2"/>
  </r>
  <r>
    <n v="1739"/>
    <x v="654"/>
    <x v="0"/>
    <x v="1"/>
    <x v="1738"/>
    <x v="1"/>
    <x v="17"/>
    <x v="1"/>
    <n v="3"/>
    <n v="151"/>
    <n v="453"/>
    <x v="0"/>
  </r>
  <r>
    <n v="1740"/>
    <x v="619"/>
    <x v="0"/>
    <x v="1"/>
    <x v="1739"/>
    <x v="0"/>
    <x v="3"/>
    <x v="1"/>
    <n v="1"/>
    <n v="354"/>
    <n v="354"/>
    <x v="0"/>
  </r>
  <r>
    <n v="1741"/>
    <x v="404"/>
    <x v="8"/>
    <x v="1"/>
    <x v="1740"/>
    <x v="1"/>
    <x v="13"/>
    <x v="0"/>
    <n v="1"/>
    <n v="290"/>
    <n v="290"/>
    <x v="0"/>
  </r>
  <r>
    <n v="1742"/>
    <x v="388"/>
    <x v="1"/>
    <x v="1"/>
    <x v="1741"/>
    <x v="1"/>
    <x v="10"/>
    <x v="2"/>
    <n v="3"/>
    <n v="379"/>
    <n v="1137"/>
    <x v="1"/>
  </r>
  <r>
    <n v="1743"/>
    <x v="433"/>
    <x v="9"/>
    <x v="1"/>
    <x v="1742"/>
    <x v="1"/>
    <x v="15"/>
    <x v="2"/>
    <n v="4"/>
    <n v="410"/>
    <n v="1640"/>
    <x v="1"/>
  </r>
  <r>
    <n v="1744"/>
    <x v="513"/>
    <x v="11"/>
    <x v="1"/>
    <x v="1743"/>
    <x v="0"/>
    <x v="7"/>
    <x v="0"/>
    <n v="3"/>
    <n v="441"/>
    <n v="1323"/>
    <x v="0"/>
  </r>
  <r>
    <n v="1745"/>
    <x v="557"/>
    <x v="10"/>
    <x v="1"/>
    <x v="1744"/>
    <x v="1"/>
    <x v="4"/>
    <x v="0"/>
    <n v="4"/>
    <n v="382"/>
    <n v="1528"/>
    <x v="1"/>
  </r>
  <r>
    <n v="1746"/>
    <x v="546"/>
    <x v="9"/>
    <x v="1"/>
    <x v="1745"/>
    <x v="0"/>
    <x v="10"/>
    <x v="2"/>
    <n v="1"/>
    <n v="74"/>
    <n v="74"/>
    <x v="1"/>
  </r>
  <r>
    <n v="1747"/>
    <x v="494"/>
    <x v="11"/>
    <x v="1"/>
    <x v="1746"/>
    <x v="1"/>
    <x v="18"/>
    <x v="2"/>
    <n v="3"/>
    <n v="400"/>
    <n v="1200"/>
    <x v="0"/>
  </r>
  <r>
    <n v="1748"/>
    <x v="562"/>
    <x v="2"/>
    <x v="1"/>
    <x v="1747"/>
    <x v="0"/>
    <x v="36"/>
    <x v="2"/>
    <n v="2"/>
    <n v="385"/>
    <n v="770"/>
    <x v="2"/>
  </r>
  <r>
    <n v="1749"/>
    <x v="596"/>
    <x v="10"/>
    <x v="1"/>
    <x v="1748"/>
    <x v="0"/>
    <x v="45"/>
    <x v="1"/>
    <n v="1"/>
    <n v="255"/>
    <n v="255"/>
    <x v="1"/>
  </r>
  <r>
    <n v="1750"/>
    <x v="550"/>
    <x v="7"/>
    <x v="1"/>
    <x v="1749"/>
    <x v="0"/>
    <x v="36"/>
    <x v="1"/>
    <n v="1"/>
    <n v="408"/>
    <n v="408"/>
    <x v="2"/>
  </r>
  <r>
    <n v="1751"/>
    <x v="664"/>
    <x v="1"/>
    <x v="1"/>
    <x v="1750"/>
    <x v="0"/>
    <x v="22"/>
    <x v="2"/>
    <n v="4"/>
    <n v="345"/>
    <n v="1380"/>
    <x v="1"/>
  </r>
  <r>
    <n v="1752"/>
    <x v="582"/>
    <x v="0"/>
    <x v="1"/>
    <x v="1751"/>
    <x v="0"/>
    <x v="7"/>
    <x v="1"/>
    <n v="1"/>
    <n v="175"/>
    <n v="175"/>
    <x v="0"/>
  </r>
  <r>
    <n v="1753"/>
    <x v="577"/>
    <x v="11"/>
    <x v="1"/>
    <x v="1752"/>
    <x v="1"/>
    <x v="41"/>
    <x v="2"/>
    <n v="1"/>
    <n v="200"/>
    <n v="200"/>
    <x v="0"/>
  </r>
  <r>
    <n v="1754"/>
    <x v="648"/>
    <x v="6"/>
    <x v="1"/>
    <x v="1753"/>
    <x v="0"/>
    <x v="40"/>
    <x v="2"/>
    <n v="1"/>
    <n v="29"/>
    <n v="29"/>
    <x v="0"/>
  </r>
  <r>
    <n v="1755"/>
    <x v="380"/>
    <x v="11"/>
    <x v="1"/>
    <x v="1754"/>
    <x v="1"/>
    <x v="3"/>
    <x v="0"/>
    <n v="1"/>
    <n v="74"/>
    <n v="74"/>
    <x v="0"/>
  </r>
  <r>
    <n v="1756"/>
    <x v="602"/>
    <x v="1"/>
    <x v="1"/>
    <x v="1755"/>
    <x v="0"/>
    <x v="29"/>
    <x v="0"/>
    <n v="3"/>
    <n v="273"/>
    <n v="819"/>
    <x v="1"/>
  </r>
  <r>
    <n v="1757"/>
    <x v="616"/>
    <x v="2"/>
    <x v="1"/>
    <x v="1756"/>
    <x v="1"/>
    <x v="32"/>
    <x v="2"/>
    <n v="3"/>
    <n v="214"/>
    <n v="642"/>
    <x v="2"/>
  </r>
  <r>
    <n v="1758"/>
    <x v="484"/>
    <x v="8"/>
    <x v="1"/>
    <x v="1757"/>
    <x v="1"/>
    <x v="31"/>
    <x v="1"/>
    <n v="3"/>
    <n v="365"/>
    <n v="1095"/>
    <x v="0"/>
  </r>
  <r>
    <n v="1759"/>
    <x v="359"/>
    <x v="5"/>
    <x v="1"/>
    <x v="1758"/>
    <x v="1"/>
    <x v="35"/>
    <x v="1"/>
    <n v="3"/>
    <n v="472"/>
    <n v="1416"/>
    <x v="2"/>
  </r>
  <r>
    <n v="1760"/>
    <x v="370"/>
    <x v="9"/>
    <x v="1"/>
    <x v="1759"/>
    <x v="0"/>
    <x v="3"/>
    <x v="2"/>
    <n v="4"/>
    <n v="396"/>
    <n v="1584"/>
    <x v="1"/>
  </r>
  <r>
    <n v="1761"/>
    <x v="466"/>
    <x v="10"/>
    <x v="1"/>
    <x v="1760"/>
    <x v="0"/>
    <x v="32"/>
    <x v="1"/>
    <n v="3"/>
    <n v="383"/>
    <n v="1149"/>
    <x v="1"/>
  </r>
  <r>
    <n v="1762"/>
    <x v="612"/>
    <x v="4"/>
    <x v="1"/>
    <x v="1761"/>
    <x v="1"/>
    <x v="24"/>
    <x v="0"/>
    <n v="4"/>
    <n v="288"/>
    <n v="1152"/>
    <x v="1"/>
  </r>
  <r>
    <n v="1763"/>
    <x v="387"/>
    <x v="5"/>
    <x v="1"/>
    <x v="1762"/>
    <x v="0"/>
    <x v="3"/>
    <x v="0"/>
    <n v="3"/>
    <n v="33"/>
    <n v="99"/>
    <x v="2"/>
  </r>
  <r>
    <n v="1764"/>
    <x v="475"/>
    <x v="0"/>
    <x v="1"/>
    <x v="1763"/>
    <x v="1"/>
    <x v="8"/>
    <x v="0"/>
    <n v="3"/>
    <n v="372"/>
    <n v="1116"/>
    <x v="0"/>
  </r>
  <r>
    <n v="1765"/>
    <x v="445"/>
    <x v="2"/>
    <x v="1"/>
    <x v="1764"/>
    <x v="0"/>
    <x v="32"/>
    <x v="2"/>
    <n v="4"/>
    <n v="403"/>
    <n v="1612"/>
    <x v="2"/>
  </r>
  <r>
    <n v="1766"/>
    <x v="389"/>
    <x v="0"/>
    <x v="1"/>
    <x v="1765"/>
    <x v="0"/>
    <x v="5"/>
    <x v="2"/>
    <n v="4"/>
    <n v="362"/>
    <n v="1448"/>
    <x v="0"/>
  </r>
  <r>
    <n v="1767"/>
    <x v="655"/>
    <x v="8"/>
    <x v="1"/>
    <x v="1766"/>
    <x v="0"/>
    <x v="46"/>
    <x v="2"/>
    <n v="3"/>
    <n v="335"/>
    <n v="1005"/>
    <x v="0"/>
  </r>
  <r>
    <n v="1768"/>
    <x v="555"/>
    <x v="1"/>
    <x v="1"/>
    <x v="1767"/>
    <x v="0"/>
    <x v="18"/>
    <x v="0"/>
    <n v="1"/>
    <n v="90"/>
    <n v="90"/>
    <x v="1"/>
  </r>
  <r>
    <n v="1769"/>
    <x v="572"/>
    <x v="3"/>
    <x v="1"/>
    <x v="1768"/>
    <x v="0"/>
    <x v="34"/>
    <x v="0"/>
    <n v="4"/>
    <n v="111"/>
    <n v="444"/>
    <x v="2"/>
  </r>
  <r>
    <n v="1770"/>
    <x v="405"/>
    <x v="2"/>
    <x v="1"/>
    <x v="1769"/>
    <x v="0"/>
    <x v="40"/>
    <x v="0"/>
    <n v="2"/>
    <n v="149"/>
    <n v="298"/>
    <x v="2"/>
  </r>
  <r>
    <n v="1771"/>
    <x v="602"/>
    <x v="1"/>
    <x v="1"/>
    <x v="1770"/>
    <x v="0"/>
    <x v="33"/>
    <x v="0"/>
    <n v="1"/>
    <n v="79"/>
    <n v="79"/>
    <x v="1"/>
  </r>
  <r>
    <n v="1772"/>
    <x v="456"/>
    <x v="2"/>
    <x v="1"/>
    <x v="1771"/>
    <x v="0"/>
    <x v="10"/>
    <x v="2"/>
    <n v="4"/>
    <n v="417"/>
    <n v="1668"/>
    <x v="2"/>
  </r>
  <r>
    <n v="1773"/>
    <x v="479"/>
    <x v="4"/>
    <x v="1"/>
    <x v="1772"/>
    <x v="0"/>
    <x v="46"/>
    <x v="2"/>
    <n v="4"/>
    <n v="484"/>
    <n v="1936"/>
    <x v="1"/>
  </r>
  <r>
    <n v="1774"/>
    <x v="363"/>
    <x v="8"/>
    <x v="1"/>
    <x v="1773"/>
    <x v="0"/>
    <x v="33"/>
    <x v="1"/>
    <n v="4"/>
    <n v="71"/>
    <n v="284"/>
    <x v="0"/>
  </r>
  <r>
    <n v="1775"/>
    <x v="400"/>
    <x v="8"/>
    <x v="1"/>
    <x v="1774"/>
    <x v="1"/>
    <x v="9"/>
    <x v="0"/>
    <n v="1"/>
    <n v="354"/>
    <n v="354"/>
    <x v="0"/>
  </r>
  <r>
    <n v="1776"/>
    <x v="369"/>
    <x v="9"/>
    <x v="1"/>
    <x v="1775"/>
    <x v="1"/>
    <x v="23"/>
    <x v="0"/>
    <n v="4"/>
    <n v="359"/>
    <n v="1436"/>
    <x v="1"/>
  </r>
  <r>
    <n v="1777"/>
    <x v="351"/>
    <x v="0"/>
    <x v="1"/>
    <x v="1776"/>
    <x v="1"/>
    <x v="9"/>
    <x v="1"/>
    <n v="3"/>
    <n v="84"/>
    <n v="252"/>
    <x v="0"/>
  </r>
  <r>
    <n v="1778"/>
    <x v="419"/>
    <x v="4"/>
    <x v="1"/>
    <x v="1777"/>
    <x v="0"/>
    <x v="41"/>
    <x v="1"/>
    <n v="3"/>
    <n v="404"/>
    <n v="1212"/>
    <x v="1"/>
  </r>
  <r>
    <n v="1779"/>
    <x v="458"/>
    <x v="7"/>
    <x v="1"/>
    <x v="1778"/>
    <x v="0"/>
    <x v="41"/>
    <x v="0"/>
    <n v="3"/>
    <n v="90"/>
    <n v="270"/>
    <x v="2"/>
  </r>
  <r>
    <n v="1780"/>
    <x v="665"/>
    <x v="9"/>
    <x v="1"/>
    <x v="1779"/>
    <x v="1"/>
    <x v="42"/>
    <x v="0"/>
    <n v="1"/>
    <n v="184"/>
    <n v="184"/>
    <x v="1"/>
  </r>
  <r>
    <n v="1781"/>
    <x v="380"/>
    <x v="11"/>
    <x v="1"/>
    <x v="1780"/>
    <x v="0"/>
    <x v="29"/>
    <x v="2"/>
    <n v="3"/>
    <n v="419"/>
    <n v="1257"/>
    <x v="0"/>
  </r>
  <r>
    <n v="1782"/>
    <x v="450"/>
    <x v="5"/>
    <x v="1"/>
    <x v="1781"/>
    <x v="0"/>
    <x v="18"/>
    <x v="0"/>
    <n v="2"/>
    <n v="79"/>
    <n v="158"/>
    <x v="2"/>
  </r>
  <r>
    <n v="1783"/>
    <x v="361"/>
    <x v="5"/>
    <x v="1"/>
    <x v="1782"/>
    <x v="0"/>
    <x v="6"/>
    <x v="2"/>
    <n v="3"/>
    <n v="99"/>
    <n v="297"/>
    <x v="2"/>
  </r>
  <r>
    <n v="1784"/>
    <x v="666"/>
    <x v="4"/>
    <x v="1"/>
    <x v="1783"/>
    <x v="0"/>
    <x v="45"/>
    <x v="0"/>
    <n v="4"/>
    <n v="100"/>
    <n v="400"/>
    <x v="1"/>
  </r>
  <r>
    <n v="1785"/>
    <x v="643"/>
    <x v="0"/>
    <x v="1"/>
    <x v="1784"/>
    <x v="1"/>
    <x v="30"/>
    <x v="0"/>
    <n v="1"/>
    <n v="331"/>
    <n v="331"/>
    <x v="0"/>
  </r>
  <r>
    <n v="1786"/>
    <x v="443"/>
    <x v="9"/>
    <x v="1"/>
    <x v="1785"/>
    <x v="1"/>
    <x v="26"/>
    <x v="0"/>
    <n v="1"/>
    <n v="165"/>
    <n v="165"/>
    <x v="1"/>
  </r>
  <r>
    <n v="1787"/>
    <x v="539"/>
    <x v="8"/>
    <x v="1"/>
    <x v="1786"/>
    <x v="1"/>
    <x v="7"/>
    <x v="1"/>
    <n v="4"/>
    <n v="174"/>
    <n v="696"/>
    <x v="0"/>
  </r>
  <r>
    <n v="1788"/>
    <x v="465"/>
    <x v="8"/>
    <x v="1"/>
    <x v="1787"/>
    <x v="1"/>
    <x v="21"/>
    <x v="2"/>
    <n v="2"/>
    <n v="448"/>
    <n v="896"/>
    <x v="0"/>
  </r>
  <r>
    <n v="1789"/>
    <x v="439"/>
    <x v="1"/>
    <x v="1"/>
    <x v="1788"/>
    <x v="0"/>
    <x v="11"/>
    <x v="0"/>
    <n v="1"/>
    <n v="497"/>
    <n v="497"/>
    <x v="1"/>
  </r>
  <r>
    <n v="1790"/>
    <x v="604"/>
    <x v="1"/>
    <x v="1"/>
    <x v="1789"/>
    <x v="1"/>
    <x v="46"/>
    <x v="2"/>
    <n v="3"/>
    <n v="442"/>
    <n v="1326"/>
    <x v="1"/>
  </r>
  <r>
    <n v="1791"/>
    <x v="374"/>
    <x v="8"/>
    <x v="1"/>
    <x v="1790"/>
    <x v="0"/>
    <x v="0"/>
    <x v="0"/>
    <n v="4"/>
    <n v="197"/>
    <n v="788"/>
    <x v="0"/>
  </r>
  <r>
    <n v="1792"/>
    <x v="610"/>
    <x v="2"/>
    <x v="1"/>
    <x v="1791"/>
    <x v="1"/>
    <x v="5"/>
    <x v="2"/>
    <n v="4"/>
    <n v="61"/>
    <n v="244"/>
    <x v="2"/>
  </r>
  <r>
    <n v="1793"/>
    <x v="481"/>
    <x v="3"/>
    <x v="1"/>
    <x v="1792"/>
    <x v="1"/>
    <x v="39"/>
    <x v="0"/>
    <n v="2"/>
    <n v="383"/>
    <n v="766"/>
    <x v="2"/>
  </r>
  <r>
    <n v="1794"/>
    <x v="410"/>
    <x v="7"/>
    <x v="1"/>
    <x v="1793"/>
    <x v="1"/>
    <x v="1"/>
    <x v="1"/>
    <n v="3"/>
    <n v="410"/>
    <n v="1230"/>
    <x v="2"/>
  </r>
  <r>
    <n v="1795"/>
    <x v="531"/>
    <x v="7"/>
    <x v="1"/>
    <x v="1794"/>
    <x v="0"/>
    <x v="23"/>
    <x v="2"/>
    <n v="4"/>
    <n v="360"/>
    <n v="1440"/>
    <x v="2"/>
  </r>
  <r>
    <n v="1796"/>
    <x v="646"/>
    <x v="10"/>
    <x v="1"/>
    <x v="1795"/>
    <x v="0"/>
    <x v="24"/>
    <x v="0"/>
    <n v="4"/>
    <n v="174"/>
    <n v="696"/>
    <x v="1"/>
  </r>
  <r>
    <n v="1797"/>
    <x v="366"/>
    <x v="10"/>
    <x v="1"/>
    <x v="1796"/>
    <x v="0"/>
    <x v="4"/>
    <x v="0"/>
    <n v="2"/>
    <n v="401"/>
    <n v="802"/>
    <x v="1"/>
  </r>
  <r>
    <n v="1798"/>
    <x v="644"/>
    <x v="0"/>
    <x v="1"/>
    <x v="1797"/>
    <x v="0"/>
    <x v="37"/>
    <x v="0"/>
    <n v="1"/>
    <n v="372"/>
    <n v="372"/>
    <x v="0"/>
  </r>
  <r>
    <n v="1799"/>
    <x v="461"/>
    <x v="10"/>
    <x v="1"/>
    <x v="1798"/>
    <x v="1"/>
    <x v="28"/>
    <x v="0"/>
    <n v="2"/>
    <n v="499"/>
    <n v="998"/>
    <x v="1"/>
  </r>
  <r>
    <n v="1800"/>
    <x v="352"/>
    <x v="6"/>
    <x v="1"/>
    <x v="1799"/>
    <x v="0"/>
    <x v="5"/>
    <x v="2"/>
    <n v="2"/>
    <n v="51"/>
    <n v="102"/>
    <x v="0"/>
  </r>
  <r>
    <n v="1801"/>
    <x v="504"/>
    <x v="10"/>
    <x v="1"/>
    <x v="1800"/>
    <x v="1"/>
    <x v="15"/>
    <x v="2"/>
    <n v="2"/>
    <n v="346"/>
    <n v="692"/>
    <x v="1"/>
  </r>
  <r>
    <n v="1802"/>
    <x v="625"/>
    <x v="5"/>
    <x v="1"/>
    <x v="1801"/>
    <x v="0"/>
    <x v="8"/>
    <x v="1"/>
    <n v="2"/>
    <n v="228"/>
    <n v="456"/>
    <x v="2"/>
  </r>
  <r>
    <n v="1803"/>
    <x v="632"/>
    <x v="3"/>
    <x v="1"/>
    <x v="1802"/>
    <x v="1"/>
    <x v="11"/>
    <x v="0"/>
    <n v="2"/>
    <n v="359"/>
    <n v="718"/>
    <x v="2"/>
  </r>
  <r>
    <n v="1804"/>
    <x v="429"/>
    <x v="5"/>
    <x v="1"/>
    <x v="1803"/>
    <x v="0"/>
    <x v="20"/>
    <x v="0"/>
    <n v="4"/>
    <n v="165"/>
    <n v="660"/>
    <x v="2"/>
  </r>
  <r>
    <n v="1805"/>
    <x v="354"/>
    <x v="0"/>
    <x v="1"/>
    <x v="1804"/>
    <x v="1"/>
    <x v="37"/>
    <x v="1"/>
    <n v="1"/>
    <n v="84"/>
    <n v="84"/>
    <x v="0"/>
  </r>
  <r>
    <n v="1806"/>
    <x v="358"/>
    <x v="11"/>
    <x v="1"/>
    <x v="1805"/>
    <x v="0"/>
    <x v="45"/>
    <x v="0"/>
    <n v="2"/>
    <n v="36"/>
    <n v="72"/>
    <x v="0"/>
  </r>
  <r>
    <n v="1807"/>
    <x v="653"/>
    <x v="7"/>
    <x v="1"/>
    <x v="1806"/>
    <x v="1"/>
    <x v="12"/>
    <x v="0"/>
    <n v="1"/>
    <n v="431"/>
    <n v="431"/>
    <x v="2"/>
  </r>
  <r>
    <n v="1808"/>
    <x v="458"/>
    <x v="7"/>
    <x v="1"/>
    <x v="1807"/>
    <x v="0"/>
    <x v="29"/>
    <x v="2"/>
    <n v="4"/>
    <n v="177"/>
    <n v="708"/>
    <x v="2"/>
  </r>
  <r>
    <n v="1809"/>
    <x v="349"/>
    <x v="7"/>
    <x v="1"/>
    <x v="1808"/>
    <x v="0"/>
    <x v="1"/>
    <x v="2"/>
    <n v="1"/>
    <n v="390"/>
    <n v="390"/>
    <x v="2"/>
  </r>
  <r>
    <n v="1810"/>
    <x v="517"/>
    <x v="7"/>
    <x v="1"/>
    <x v="1809"/>
    <x v="0"/>
    <x v="13"/>
    <x v="0"/>
    <n v="1"/>
    <n v="226"/>
    <n v="226"/>
    <x v="2"/>
  </r>
  <r>
    <n v="1811"/>
    <x v="638"/>
    <x v="7"/>
    <x v="1"/>
    <x v="1810"/>
    <x v="1"/>
    <x v="25"/>
    <x v="0"/>
    <n v="1"/>
    <n v="410"/>
    <n v="410"/>
    <x v="2"/>
  </r>
  <r>
    <n v="1812"/>
    <x v="548"/>
    <x v="1"/>
    <x v="1"/>
    <x v="1811"/>
    <x v="0"/>
    <x v="36"/>
    <x v="0"/>
    <n v="2"/>
    <n v="27"/>
    <n v="54"/>
    <x v="1"/>
  </r>
  <r>
    <n v="1813"/>
    <x v="638"/>
    <x v="7"/>
    <x v="1"/>
    <x v="1812"/>
    <x v="1"/>
    <x v="31"/>
    <x v="1"/>
    <n v="1"/>
    <n v="90"/>
    <n v="90"/>
    <x v="2"/>
  </r>
  <r>
    <n v="1814"/>
    <x v="554"/>
    <x v="7"/>
    <x v="1"/>
    <x v="1813"/>
    <x v="0"/>
    <x v="19"/>
    <x v="1"/>
    <n v="1"/>
    <n v="312"/>
    <n v="312"/>
    <x v="2"/>
  </r>
  <r>
    <n v="1815"/>
    <x v="635"/>
    <x v="4"/>
    <x v="1"/>
    <x v="1814"/>
    <x v="0"/>
    <x v="16"/>
    <x v="1"/>
    <n v="3"/>
    <n v="211"/>
    <n v="633"/>
    <x v="1"/>
  </r>
  <r>
    <n v="1816"/>
    <x v="651"/>
    <x v="7"/>
    <x v="1"/>
    <x v="1815"/>
    <x v="0"/>
    <x v="28"/>
    <x v="0"/>
    <n v="1"/>
    <n v="152"/>
    <n v="152"/>
    <x v="2"/>
  </r>
  <r>
    <n v="1817"/>
    <x v="628"/>
    <x v="9"/>
    <x v="1"/>
    <x v="1816"/>
    <x v="0"/>
    <x v="18"/>
    <x v="2"/>
    <n v="4"/>
    <n v="96"/>
    <n v="384"/>
    <x v="1"/>
  </r>
  <r>
    <n v="1818"/>
    <x v="667"/>
    <x v="7"/>
    <x v="1"/>
    <x v="1817"/>
    <x v="1"/>
    <x v="11"/>
    <x v="2"/>
    <n v="3"/>
    <n v="335"/>
    <n v="1005"/>
    <x v="2"/>
  </r>
  <r>
    <n v="1819"/>
    <x v="517"/>
    <x v="7"/>
    <x v="1"/>
    <x v="1818"/>
    <x v="0"/>
    <x v="11"/>
    <x v="1"/>
    <n v="1"/>
    <n v="146"/>
    <n v="146"/>
    <x v="2"/>
  </r>
  <r>
    <n v="1820"/>
    <x v="476"/>
    <x v="6"/>
    <x v="1"/>
    <x v="1819"/>
    <x v="0"/>
    <x v="30"/>
    <x v="2"/>
    <n v="2"/>
    <n v="93"/>
    <n v="186"/>
    <x v="0"/>
  </r>
  <r>
    <n v="1821"/>
    <x v="619"/>
    <x v="0"/>
    <x v="1"/>
    <x v="1820"/>
    <x v="0"/>
    <x v="15"/>
    <x v="2"/>
    <n v="3"/>
    <n v="90"/>
    <n v="270"/>
    <x v="0"/>
  </r>
  <r>
    <n v="1822"/>
    <x v="668"/>
    <x v="0"/>
    <x v="1"/>
    <x v="1821"/>
    <x v="1"/>
    <x v="25"/>
    <x v="0"/>
    <n v="3"/>
    <n v="158"/>
    <n v="474"/>
    <x v="0"/>
  </r>
  <r>
    <n v="1823"/>
    <x v="382"/>
    <x v="5"/>
    <x v="1"/>
    <x v="1822"/>
    <x v="0"/>
    <x v="13"/>
    <x v="2"/>
    <n v="1"/>
    <n v="155"/>
    <n v="155"/>
    <x v="2"/>
  </r>
  <r>
    <n v="1824"/>
    <x v="575"/>
    <x v="8"/>
    <x v="1"/>
    <x v="1823"/>
    <x v="1"/>
    <x v="11"/>
    <x v="1"/>
    <n v="2"/>
    <n v="61"/>
    <n v="122"/>
    <x v="0"/>
  </r>
  <r>
    <n v="1825"/>
    <x v="477"/>
    <x v="0"/>
    <x v="1"/>
    <x v="1824"/>
    <x v="1"/>
    <x v="7"/>
    <x v="0"/>
    <n v="2"/>
    <n v="390"/>
    <n v="780"/>
    <x v="0"/>
  </r>
  <r>
    <n v="1826"/>
    <x v="538"/>
    <x v="5"/>
    <x v="1"/>
    <x v="1825"/>
    <x v="0"/>
    <x v="38"/>
    <x v="1"/>
    <n v="3"/>
    <n v="428"/>
    <n v="1284"/>
    <x v="2"/>
  </r>
  <r>
    <n v="1827"/>
    <x v="456"/>
    <x v="2"/>
    <x v="1"/>
    <x v="1826"/>
    <x v="1"/>
    <x v="0"/>
    <x v="0"/>
    <n v="2"/>
    <n v="64"/>
    <n v="128"/>
    <x v="2"/>
  </r>
  <r>
    <n v="1828"/>
    <x v="669"/>
    <x v="4"/>
    <x v="1"/>
    <x v="1827"/>
    <x v="0"/>
    <x v="6"/>
    <x v="1"/>
    <n v="4"/>
    <n v="58"/>
    <n v="232"/>
    <x v="1"/>
  </r>
  <r>
    <n v="1829"/>
    <x v="608"/>
    <x v="9"/>
    <x v="1"/>
    <x v="1828"/>
    <x v="0"/>
    <x v="37"/>
    <x v="2"/>
    <n v="3"/>
    <n v="99"/>
    <n v="297"/>
    <x v="1"/>
  </r>
  <r>
    <n v="1830"/>
    <x v="670"/>
    <x v="1"/>
    <x v="1"/>
    <x v="1829"/>
    <x v="1"/>
    <x v="3"/>
    <x v="1"/>
    <n v="4"/>
    <n v="138"/>
    <n v="552"/>
    <x v="1"/>
  </r>
  <r>
    <n v="1831"/>
    <x v="629"/>
    <x v="5"/>
    <x v="1"/>
    <x v="1830"/>
    <x v="0"/>
    <x v="41"/>
    <x v="1"/>
    <n v="3"/>
    <n v="326"/>
    <n v="978"/>
    <x v="2"/>
  </r>
  <r>
    <n v="1832"/>
    <x v="632"/>
    <x v="3"/>
    <x v="1"/>
    <x v="1831"/>
    <x v="0"/>
    <x v="18"/>
    <x v="2"/>
    <n v="3"/>
    <n v="307"/>
    <n v="921"/>
    <x v="2"/>
  </r>
  <r>
    <n v="1833"/>
    <x v="669"/>
    <x v="4"/>
    <x v="1"/>
    <x v="1832"/>
    <x v="0"/>
    <x v="21"/>
    <x v="1"/>
    <n v="3"/>
    <n v="409"/>
    <n v="1227"/>
    <x v="1"/>
  </r>
  <r>
    <n v="1834"/>
    <x v="574"/>
    <x v="5"/>
    <x v="1"/>
    <x v="1833"/>
    <x v="0"/>
    <x v="5"/>
    <x v="0"/>
    <n v="4"/>
    <n v="269"/>
    <n v="1076"/>
    <x v="2"/>
  </r>
  <r>
    <n v="1835"/>
    <x v="458"/>
    <x v="7"/>
    <x v="1"/>
    <x v="1834"/>
    <x v="0"/>
    <x v="22"/>
    <x v="1"/>
    <n v="2"/>
    <n v="361"/>
    <n v="722"/>
    <x v="2"/>
  </r>
  <r>
    <n v="1836"/>
    <x v="661"/>
    <x v="10"/>
    <x v="1"/>
    <x v="1835"/>
    <x v="0"/>
    <x v="29"/>
    <x v="0"/>
    <n v="3"/>
    <n v="52"/>
    <n v="156"/>
    <x v="1"/>
  </r>
  <r>
    <n v="1837"/>
    <x v="421"/>
    <x v="0"/>
    <x v="1"/>
    <x v="1836"/>
    <x v="1"/>
    <x v="23"/>
    <x v="1"/>
    <n v="4"/>
    <n v="386"/>
    <n v="1544"/>
    <x v="0"/>
  </r>
  <r>
    <n v="1838"/>
    <x v="407"/>
    <x v="2"/>
    <x v="1"/>
    <x v="1837"/>
    <x v="0"/>
    <x v="24"/>
    <x v="2"/>
    <n v="4"/>
    <n v="282"/>
    <n v="1128"/>
    <x v="2"/>
  </r>
  <r>
    <n v="1839"/>
    <x v="671"/>
    <x v="4"/>
    <x v="1"/>
    <x v="1838"/>
    <x v="1"/>
    <x v="28"/>
    <x v="0"/>
    <n v="2"/>
    <n v="181"/>
    <n v="362"/>
    <x v="1"/>
  </r>
  <r>
    <n v="1840"/>
    <x v="672"/>
    <x v="0"/>
    <x v="1"/>
    <x v="1839"/>
    <x v="0"/>
    <x v="34"/>
    <x v="2"/>
    <n v="3"/>
    <n v="457"/>
    <n v="1371"/>
    <x v="0"/>
  </r>
  <r>
    <n v="1841"/>
    <x v="657"/>
    <x v="11"/>
    <x v="1"/>
    <x v="1840"/>
    <x v="0"/>
    <x v="25"/>
    <x v="0"/>
    <n v="2"/>
    <n v="72"/>
    <n v="144"/>
    <x v="0"/>
  </r>
  <r>
    <n v="1842"/>
    <x v="624"/>
    <x v="10"/>
    <x v="1"/>
    <x v="1841"/>
    <x v="0"/>
    <x v="16"/>
    <x v="0"/>
    <n v="3"/>
    <n v="308"/>
    <n v="924"/>
    <x v="1"/>
  </r>
  <r>
    <n v="1843"/>
    <x v="408"/>
    <x v="3"/>
    <x v="1"/>
    <x v="1842"/>
    <x v="0"/>
    <x v="28"/>
    <x v="0"/>
    <n v="2"/>
    <n v="270"/>
    <n v="540"/>
    <x v="2"/>
  </r>
  <r>
    <n v="1844"/>
    <x v="572"/>
    <x v="3"/>
    <x v="1"/>
    <x v="1843"/>
    <x v="0"/>
    <x v="13"/>
    <x v="1"/>
    <n v="2"/>
    <n v="491"/>
    <n v="982"/>
    <x v="2"/>
  </r>
  <r>
    <n v="1845"/>
    <x v="423"/>
    <x v="6"/>
    <x v="1"/>
    <x v="1844"/>
    <x v="1"/>
    <x v="11"/>
    <x v="0"/>
    <n v="3"/>
    <n v="150"/>
    <n v="450"/>
    <x v="0"/>
  </r>
  <r>
    <n v="1846"/>
    <x v="576"/>
    <x v="8"/>
    <x v="1"/>
    <x v="1845"/>
    <x v="0"/>
    <x v="32"/>
    <x v="2"/>
    <n v="2"/>
    <n v="370"/>
    <n v="740"/>
    <x v="0"/>
  </r>
  <r>
    <n v="1847"/>
    <x v="436"/>
    <x v="3"/>
    <x v="1"/>
    <x v="1846"/>
    <x v="0"/>
    <x v="36"/>
    <x v="1"/>
    <n v="3"/>
    <n v="454"/>
    <n v="1362"/>
    <x v="2"/>
  </r>
  <r>
    <n v="1848"/>
    <x v="596"/>
    <x v="10"/>
    <x v="1"/>
    <x v="1847"/>
    <x v="1"/>
    <x v="21"/>
    <x v="2"/>
    <n v="4"/>
    <n v="219"/>
    <n v="876"/>
    <x v="1"/>
  </r>
  <r>
    <n v="1849"/>
    <x v="372"/>
    <x v="10"/>
    <x v="1"/>
    <x v="1848"/>
    <x v="1"/>
    <x v="41"/>
    <x v="2"/>
    <n v="2"/>
    <n v="450"/>
    <n v="900"/>
    <x v="1"/>
  </r>
  <r>
    <n v="1850"/>
    <x v="355"/>
    <x v="7"/>
    <x v="1"/>
    <x v="1849"/>
    <x v="0"/>
    <x v="39"/>
    <x v="2"/>
    <n v="4"/>
    <n v="175"/>
    <n v="700"/>
    <x v="2"/>
  </r>
  <r>
    <n v="1851"/>
    <x v="605"/>
    <x v="4"/>
    <x v="1"/>
    <x v="1850"/>
    <x v="0"/>
    <x v="3"/>
    <x v="0"/>
    <n v="4"/>
    <n v="136"/>
    <n v="544"/>
    <x v="1"/>
  </r>
  <r>
    <n v="1852"/>
    <x v="365"/>
    <x v="9"/>
    <x v="1"/>
    <x v="1851"/>
    <x v="0"/>
    <x v="20"/>
    <x v="0"/>
    <n v="4"/>
    <n v="54"/>
    <n v="216"/>
    <x v="1"/>
  </r>
  <r>
    <n v="1853"/>
    <x v="448"/>
    <x v="5"/>
    <x v="1"/>
    <x v="1852"/>
    <x v="0"/>
    <x v="35"/>
    <x v="2"/>
    <n v="3"/>
    <n v="177"/>
    <n v="531"/>
    <x v="2"/>
  </r>
  <r>
    <n v="1854"/>
    <x v="428"/>
    <x v="9"/>
    <x v="1"/>
    <x v="1853"/>
    <x v="0"/>
    <x v="3"/>
    <x v="2"/>
    <n v="2"/>
    <n v="230"/>
    <n v="460"/>
    <x v="1"/>
  </r>
  <r>
    <n v="1855"/>
    <x v="428"/>
    <x v="9"/>
    <x v="1"/>
    <x v="1854"/>
    <x v="0"/>
    <x v="1"/>
    <x v="2"/>
    <n v="4"/>
    <n v="126"/>
    <n v="504"/>
    <x v="1"/>
  </r>
  <r>
    <n v="1856"/>
    <x v="577"/>
    <x v="11"/>
    <x v="1"/>
    <x v="1855"/>
    <x v="0"/>
    <x v="38"/>
    <x v="1"/>
    <n v="4"/>
    <n v="28"/>
    <n v="112"/>
    <x v="0"/>
  </r>
  <r>
    <n v="1857"/>
    <x v="426"/>
    <x v="10"/>
    <x v="1"/>
    <x v="1856"/>
    <x v="1"/>
    <x v="9"/>
    <x v="2"/>
    <n v="4"/>
    <n v="216"/>
    <n v="864"/>
    <x v="1"/>
  </r>
  <r>
    <n v="1858"/>
    <x v="628"/>
    <x v="9"/>
    <x v="1"/>
    <x v="1857"/>
    <x v="1"/>
    <x v="28"/>
    <x v="1"/>
    <n v="3"/>
    <n v="80"/>
    <n v="240"/>
    <x v="1"/>
  </r>
  <r>
    <n v="1859"/>
    <x v="618"/>
    <x v="2"/>
    <x v="1"/>
    <x v="1858"/>
    <x v="1"/>
    <x v="10"/>
    <x v="1"/>
    <n v="3"/>
    <n v="407"/>
    <n v="1221"/>
    <x v="2"/>
  </r>
  <r>
    <n v="1860"/>
    <x v="456"/>
    <x v="2"/>
    <x v="1"/>
    <x v="1859"/>
    <x v="0"/>
    <x v="5"/>
    <x v="0"/>
    <n v="2"/>
    <n v="81"/>
    <n v="162"/>
    <x v="2"/>
  </r>
  <r>
    <n v="1861"/>
    <x v="503"/>
    <x v="1"/>
    <x v="1"/>
    <x v="1860"/>
    <x v="1"/>
    <x v="8"/>
    <x v="1"/>
    <n v="4"/>
    <n v="240"/>
    <n v="960"/>
    <x v="1"/>
  </r>
  <r>
    <n v="1862"/>
    <x v="370"/>
    <x v="9"/>
    <x v="1"/>
    <x v="1861"/>
    <x v="0"/>
    <x v="10"/>
    <x v="0"/>
    <n v="2"/>
    <n v="270"/>
    <n v="540"/>
    <x v="1"/>
  </r>
  <r>
    <n v="1863"/>
    <x v="498"/>
    <x v="8"/>
    <x v="1"/>
    <x v="1862"/>
    <x v="1"/>
    <x v="41"/>
    <x v="2"/>
    <n v="4"/>
    <n v="306"/>
    <n v="1224"/>
    <x v="0"/>
  </r>
  <r>
    <n v="1864"/>
    <x v="526"/>
    <x v="3"/>
    <x v="1"/>
    <x v="1863"/>
    <x v="0"/>
    <x v="31"/>
    <x v="2"/>
    <n v="4"/>
    <n v="92"/>
    <n v="368"/>
    <x v="2"/>
  </r>
  <r>
    <n v="1865"/>
    <x v="519"/>
    <x v="11"/>
    <x v="1"/>
    <x v="1864"/>
    <x v="0"/>
    <x v="0"/>
    <x v="1"/>
    <n v="2"/>
    <n v="201"/>
    <n v="402"/>
    <x v="0"/>
  </r>
  <r>
    <n v="1866"/>
    <x v="398"/>
    <x v="3"/>
    <x v="1"/>
    <x v="1865"/>
    <x v="0"/>
    <x v="17"/>
    <x v="1"/>
    <n v="1"/>
    <n v="372"/>
    <n v="372"/>
    <x v="2"/>
  </r>
  <r>
    <n v="1867"/>
    <x v="369"/>
    <x v="9"/>
    <x v="1"/>
    <x v="1866"/>
    <x v="1"/>
    <x v="32"/>
    <x v="0"/>
    <n v="1"/>
    <n v="247"/>
    <n v="247"/>
    <x v="1"/>
  </r>
  <r>
    <n v="1868"/>
    <x v="541"/>
    <x v="3"/>
    <x v="1"/>
    <x v="1867"/>
    <x v="1"/>
    <x v="39"/>
    <x v="2"/>
    <n v="1"/>
    <n v="414"/>
    <n v="414"/>
    <x v="2"/>
  </r>
  <r>
    <n v="1869"/>
    <x v="566"/>
    <x v="2"/>
    <x v="1"/>
    <x v="1868"/>
    <x v="0"/>
    <x v="35"/>
    <x v="1"/>
    <n v="2"/>
    <n v="152"/>
    <n v="304"/>
    <x v="2"/>
  </r>
  <r>
    <n v="1870"/>
    <x v="479"/>
    <x v="4"/>
    <x v="1"/>
    <x v="1869"/>
    <x v="0"/>
    <x v="22"/>
    <x v="0"/>
    <n v="2"/>
    <n v="366"/>
    <n v="732"/>
    <x v="1"/>
  </r>
  <r>
    <n v="1871"/>
    <x v="566"/>
    <x v="2"/>
    <x v="1"/>
    <x v="1870"/>
    <x v="0"/>
    <x v="40"/>
    <x v="0"/>
    <n v="1"/>
    <n v="383"/>
    <n v="383"/>
    <x v="2"/>
  </r>
  <r>
    <n v="1872"/>
    <x v="673"/>
    <x v="3"/>
    <x v="1"/>
    <x v="1871"/>
    <x v="0"/>
    <x v="27"/>
    <x v="0"/>
    <n v="2"/>
    <n v="142"/>
    <n v="284"/>
    <x v="2"/>
  </r>
  <r>
    <n v="1873"/>
    <x v="353"/>
    <x v="10"/>
    <x v="1"/>
    <x v="1872"/>
    <x v="0"/>
    <x v="13"/>
    <x v="1"/>
    <n v="3"/>
    <n v="123"/>
    <n v="369"/>
    <x v="1"/>
  </r>
  <r>
    <n v="1874"/>
    <x v="366"/>
    <x v="10"/>
    <x v="1"/>
    <x v="1873"/>
    <x v="1"/>
    <x v="0"/>
    <x v="0"/>
    <n v="2"/>
    <n v="71"/>
    <n v="142"/>
    <x v="1"/>
  </r>
  <r>
    <n v="1875"/>
    <x v="594"/>
    <x v="6"/>
    <x v="1"/>
    <x v="1874"/>
    <x v="1"/>
    <x v="38"/>
    <x v="0"/>
    <n v="3"/>
    <n v="383"/>
    <n v="1149"/>
    <x v="0"/>
  </r>
  <r>
    <n v="1876"/>
    <x v="475"/>
    <x v="0"/>
    <x v="1"/>
    <x v="1875"/>
    <x v="0"/>
    <x v="9"/>
    <x v="2"/>
    <n v="4"/>
    <n v="270"/>
    <n v="1080"/>
    <x v="0"/>
  </r>
  <r>
    <n v="1877"/>
    <x v="380"/>
    <x v="11"/>
    <x v="1"/>
    <x v="1876"/>
    <x v="1"/>
    <x v="19"/>
    <x v="1"/>
    <n v="3"/>
    <n v="81"/>
    <n v="243"/>
    <x v="0"/>
  </r>
  <r>
    <n v="1878"/>
    <x v="674"/>
    <x v="4"/>
    <x v="1"/>
    <x v="1877"/>
    <x v="1"/>
    <x v="12"/>
    <x v="2"/>
    <n v="4"/>
    <n v="151"/>
    <n v="604"/>
    <x v="1"/>
  </r>
  <r>
    <n v="1879"/>
    <x v="443"/>
    <x v="9"/>
    <x v="1"/>
    <x v="1878"/>
    <x v="0"/>
    <x v="36"/>
    <x v="1"/>
    <n v="1"/>
    <n v="51"/>
    <n v="51"/>
    <x v="1"/>
  </r>
  <r>
    <n v="1880"/>
    <x v="576"/>
    <x v="8"/>
    <x v="1"/>
    <x v="1879"/>
    <x v="1"/>
    <x v="4"/>
    <x v="2"/>
    <n v="4"/>
    <n v="168"/>
    <n v="672"/>
    <x v="0"/>
  </r>
  <r>
    <n v="1881"/>
    <x v="675"/>
    <x v="0"/>
    <x v="1"/>
    <x v="1880"/>
    <x v="0"/>
    <x v="28"/>
    <x v="1"/>
    <n v="3"/>
    <n v="276"/>
    <n v="828"/>
    <x v="0"/>
  </r>
  <r>
    <n v="1882"/>
    <x v="450"/>
    <x v="5"/>
    <x v="1"/>
    <x v="1881"/>
    <x v="1"/>
    <x v="34"/>
    <x v="1"/>
    <n v="1"/>
    <n v="367"/>
    <n v="367"/>
    <x v="2"/>
  </r>
  <r>
    <n v="1883"/>
    <x v="567"/>
    <x v="6"/>
    <x v="1"/>
    <x v="1882"/>
    <x v="0"/>
    <x v="44"/>
    <x v="2"/>
    <n v="3"/>
    <n v="405"/>
    <n v="1215"/>
    <x v="0"/>
  </r>
  <r>
    <n v="1884"/>
    <x v="590"/>
    <x v="7"/>
    <x v="1"/>
    <x v="1883"/>
    <x v="1"/>
    <x v="14"/>
    <x v="0"/>
    <n v="3"/>
    <n v="132"/>
    <n v="396"/>
    <x v="2"/>
  </r>
  <r>
    <n v="1885"/>
    <x v="520"/>
    <x v="7"/>
    <x v="1"/>
    <x v="1884"/>
    <x v="1"/>
    <x v="16"/>
    <x v="1"/>
    <n v="2"/>
    <n v="347"/>
    <n v="694"/>
    <x v="2"/>
  </r>
  <r>
    <n v="1886"/>
    <x v="619"/>
    <x v="0"/>
    <x v="1"/>
    <x v="1885"/>
    <x v="0"/>
    <x v="8"/>
    <x v="0"/>
    <n v="2"/>
    <n v="123"/>
    <n v="246"/>
    <x v="0"/>
  </r>
  <r>
    <n v="1887"/>
    <x v="465"/>
    <x v="8"/>
    <x v="1"/>
    <x v="1886"/>
    <x v="1"/>
    <x v="1"/>
    <x v="1"/>
    <n v="3"/>
    <n v="179"/>
    <n v="537"/>
    <x v="0"/>
  </r>
  <r>
    <n v="1888"/>
    <x v="616"/>
    <x v="2"/>
    <x v="1"/>
    <x v="1887"/>
    <x v="0"/>
    <x v="6"/>
    <x v="0"/>
    <n v="2"/>
    <n v="47"/>
    <n v="94"/>
    <x v="2"/>
  </r>
  <r>
    <n v="1889"/>
    <x v="464"/>
    <x v="10"/>
    <x v="1"/>
    <x v="1888"/>
    <x v="0"/>
    <x v="38"/>
    <x v="0"/>
    <n v="3"/>
    <n v="481"/>
    <n v="1443"/>
    <x v="1"/>
  </r>
  <r>
    <n v="1890"/>
    <x v="442"/>
    <x v="7"/>
    <x v="1"/>
    <x v="1889"/>
    <x v="1"/>
    <x v="37"/>
    <x v="2"/>
    <n v="1"/>
    <n v="491"/>
    <n v="491"/>
    <x v="2"/>
  </r>
  <r>
    <n v="1891"/>
    <x v="500"/>
    <x v="2"/>
    <x v="1"/>
    <x v="1890"/>
    <x v="0"/>
    <x v="40"/>
    <x v="2"/>
    <n v="1"/>
    <n v="110"/>
    <n v="110"/>
    <x v="2"/>
  </r>
  <r>
    <n v="1892"/>
    <x v="650"/>
    <x v="0"/>
    <x v="1"/>
    <x v="1891"/>
    <x v="1"/>
    <x v="11"/>
    <x v="1"/>
    <n v="3"/>
    <n v="48"/>
    <n v="144"/>
    <x v="0"/>
  </r>
  <r>
    <n v="1893"/>
    <x v="540"/>
    <x v="7"/>
    <x v="1"/>
    <x v="1892"/>
    <x v="0"/>
    <x v="11"/>
    <x v="1"/>
    <n v="4"/>
    <n v="278"/>
    <n v="1112"/>
    <x v="2"/>
  </r>
  <r>
    <n v="1894"/>
    <x v="530"/>
    <x v="8"/>
    <x v="1"/>
    <x v="1893"/>
    <x v="0"/>
    <x v="10"/>
    <x v="2"/>
    <n v="4"/>
    <n v="312"/>
    <n v="1248"/>
    <x v="0"/>
  </r>
  <r>
    <n v="1895"/>
    <x v="574"/>
    <x v="5"/>
    <x v="1"/>
    <x v="1894"/>
    <x v="1"/>
    <x v="32"/>
    <x v="2"/>
    <n v="2"/>
    <n v="119"/>
    <n v="238"/>
    <x v="2"/>
  </r>
  <r>
    <n v="1896"/>
    <x v="647"/>
    <x v="6"/>
    <x v="1"/>
    <x v="1895"/>
    <x v="0"/>
    <x v="42"/>
    <x v="1"/>
    <n v="1"/>
    <n v="475"/>
    <n v="475"/>
    <x v="0"/>
  </r>
  <r>
    <n v="1897"/>
    <x v="617"/>
    <x v="3"/>
    <x v="1"/>
    <x v="1896"/>
    <x v="1"/>
    <x v="26"/>
    <x v="0"/>
    <n v="3"/>
    <n v="180"/>
    <n v="540"/>
    <x v="2"/>
  </r>
  <r>
    <n v="1898"/>
    <x v="660"/>
    <x v="1"/>
    <x v="1"/>
    <x v="1897"/>
    <x v="1"/>
    <x v="23"/>
    <x v="2"/>
    <n v="1"/>
    <n v="112"/>
    <n v="112"/>
    <x v="1"/>
  </r>
  <r>
    <n v="1899"/>
    <x v="623"/>
    <x v="1"/>
    <x v="1"/>
    <x v="1898"/>
    <x v="0"/>
    <x v="6"/>
    <x v="1"/>
    <n v="3"/>
    <n v="45"/>
    <n v="135"/>
    <x v="1"/>
  </r>
  <r>
    <n v="1900"/>
    <x v="421"/>
    <x v="0"/>
    <x v="1"/>
    <x v="1899"/>
    <x v="0"/>
    <x v="12"/>
    <x v="1"/>
    <n v="3"/>
    <n v="472"/>
    <n v="1416"/>
    <x v="0"/>
  </r>
  <r>
    <n v="1901"/>
    <x v="594"/>
    <x v="6"/>
    <x v="1"/>
    <x v="1900"/>
    <x v="0"/>
    <x v="4"/>
    <x v="0"/>
    <n v="1"/>
    <n v="25"/>
    <n v="25"/>
    <x v="0"/>
  </r>
  <r>
    <n v="1902"/>
    <x v="375"/>
    <x v="0"/>
    <x v="1"/>
    <x v="1901"/>
    <x v="1"/>
    <x v="7"/>
    <x v="0"/>
    <n v="3"/>
    <n v="191"/>
    <n v="573"/>
    <x v="0"/>
  </r>
  <r>
    <n v="1903"/>
    <x v="358"/>
    <x v="11"/>
    <x v="1"/>
    <x v="1902"/>
    <x v="1"/>
    <x v="46"/>
    <x v="1"/>
    <n v="4"/>
    <n v="484"/>
    <n v="1936"/>
    <x v="0"/>
  </r>
  <r>
    <n v="1904"/>
    <x v="389"/>
    <x v="0"/>
    <x v="1"/>
    <x v="1903"/>
    <x v="1"/>
    <x v="31"/>
    <x v="1"/>
    <n v="1"/>
    <n v="446"/>
    <n v="446"/>
    <x v="0"/>
  </r>
  <r>
    <n v="1905"/>
    <x v="448"/>
    <x v="5"/>
    <x v="1"/>
    <x v="1904"/>
    <x v="0"/>
    <x v="46"/>
    <x v="2"/>
    <n v="2"/>
    <n v="156"/>
    <n v="312"/>
    <x v="2"/>
  </r>
  <r>
    <n v="1906"/>
    <x v="676"/>
    <x v="6"/>
    <x v="1"/>
    <x v="1905"/>
    <x v="0"/>
    <x v="46"/>
    <x v="0"/>
    <n v="4"/>
    <n v="359"/>
    <n v="1436"/>
    <x v="0"/>
  </r>
  <r>
    <n v="1907"/>
    <x v="635"/>
    <x v="4"/>
    <x v="1"/>
    <x v="1906"/>
    <x v="0"/>
    <x v="24"/>
    <x v="1"/>
    <n v="3"/>
    <n v="162"/>
    <n v="486"/>
    <x v="1"/>
  </r>
  <r>
    <n v="1908"/>
    <x v="392"/>
    <x v="1"/>
    <x v="1"/>
    <x v="1907"/>
    <x v="1"/>
    <x v="30"/>
    <x v="2"/>
    <n v="2"/>
    <n v="398"/>
    <n v="796"/>
    <x v="1"/>
  </r>
  <r>
    <n v="1909"/>
    <x v="456"/>
    <x v="2"/>
    <x v="1"/>
    <x v="1908"/>
    <x v="1"/>
    <x v="30"/>
    <x v="2"/>
    <n v="1"/>
    <n v="278"/>
    <n v="278"/>
    <x v="2"/>
  </r>
  <r>
    <n v="1910"/>
    <x v="471"/>
    <x v="1"/>
    <x v="1"/>
    <x v="1909"/>
    <x v="1"/>
    <x v="36"/>
    <x v="1"/>
    <n v="2"/>
    <n v="316"/>
    <n v="632"/>
    <x v="1"/>
  </r>
  <r>
    <n v="1911"/>
    <x v="592"/>
    <x v="3"/>
    <x v="1"/>
    <x v="1910"/>
    <x v="0"/>
    <x v="19"/>
    <x v="2"/>
    <n v="1"/>
    <n v="183"/>
    <n v="183"/>
    <x v="2"/>
  </r>
  <r>
    <n v="1912"/>
    <x v="646"/>
    <x v="10"/>
    <x v="1"/>
    <x v="1911"/>
    <x v="0"/>
    <x v="13"/>
    <x v="0"/>
    <n v="2"/>
    <n v="60"/>
    <n v="120"/>
    <x v="1"/>
  </r>
  <r>
    <n v="1913"/>
    <x v="557"/>
    <x v="10"/>
    <x v="1"/>
    <x v="1912"/>
    <x v="0"/>
    <x v="28"/>
    <x v="1"/>
    <n v="4"/>
    <n v="490"/>
    <n v="1960"/>
    <x v="1"/>
  </r>
  <r>
    <n v="1914"/>
    <x v="495"/>
    <x v="0"/>
    <x v="1"/>
    <x v="1913"/>
    <x v="1"/>
    <x v="1"/>
    <x v="0"/>
    <n v="2"/>
    <n v="397"/>
    <n v="794"/>
    <x v="0"/>
  </r>
  <r>
    <n v="1915"/>
    <x v="567"/>
    <x v="6"/>
    <x v="1"/>
    <x v="1914"/>
    <x v="0"/>
    <x v="29"/>
    <x v="2"/>
    <n v="1"/>
    <n v="81"/>
    <n v="81"/>
    <x v="0"/>
  </r>
  <r>
    <n v="1916"/>
    <x v="567"/>
    <x v="6"/>
    <x v="1"/>
    <x v="1915"/>
    <x v="0"/>
    <x v="43"/>
    <x v="1"/>
    <n v="1"/>
    <n v="162"/>
    <n v="162"/>
    <x v="0"/>
  </r>
  <r>
    <n v="1917"/>
    <x v="557"/>
    <x v="10"/>
    <x v="1"/>
    <x v="1916"/>
    <x v="0"/>
    <x v="3"/>
    <x v="1"/>
    <n v="3"/>
    <n v="461"/>
    <n v="1383"/>
    <x v="1"/>
  </r>
  <r>
    <n v="1918"/>
    <x v="402"/>
    <x v="8"/>
    <x v="1"/>
    <x v="1917"/>
    <x v="0"/>
    <x v="27"/>
    <x v="1"/>
    <n v="4"/>
    <n v="413"/>
    <n v="1652"/>
    <x v="0"/>
  </r>
  <r>
    <n v="1919"/>
    <x v="677"/>
    <x v="7"/>
    <x v="1"/>
    <x v="1918"/>
    <x v="1"/>
    <x v="10"/>
    <x v="2"/>
    <n v="3"/>
    <n v="270"/>
    <n v="810"/>
    <x v="2"/>
  </r>
  <r>
    <n v="1920"/>
    <x v="426"/>
    <x v="10"/>
    <x v="1"/>
    <x v="1919"/>
    <x v="0"/>
    <x v="21"/>
    <x v="0"/>
    <n v="3"/>
    <n v="346"/>
    <n v="1038"/>
    <x v="1"/>
  </r>
  <r>
    <n v="1921"/>
    <x v="651"/>
    <x v="7"/>
    <x v="1"/>
    <x v="1920"/>
    <x v="0"/>
    <x v="0"/>
    <x v="1"/>
    <n v="1"/>
    <n v="303"/>
    <n v="303"/>
    <x v="2"/>
  </r>
  <r>
    <n v="1922"/>
    <x v="666"/>
    <x v="4"/>
    <x v="1"/>
    <x v="1921"/>
    <x v="0"/>
    <x v="26"/>
    <x v="2"/>
    <n v="2"/>
    <n v="25"/>
    <n v="50"/>
    <x v="1"/>
  </r>
  <r>
    <n v="1923"/>
    <x v="623"/>
    <x v="1"/>
    <x v="1"/>
    <x v="1922"/>
    <x v="0"/>
    <x v="9"/>
    <x v="2"/>
    <n v="4"/>
    <n v="100"/>
    <n v="400"/>
    <x v="1"/>
  </r>
  <r>
    <n v="1924"/>
    <x v="678"/>
    <x v="9"/>
    <x v="1"/>
    <x v="1923"/>
    <x v="1"/>
    <x v="9"/>
    <x v="0"/>
    <n v="4"/>
    <n v="376"/>
    <n v="1504"/>
    <x v="1"/>
  </r>
  <r>
    <n v="1925"/>
    <x v="451"/>
    <x v="11"/>
    <x v="1"/>
    <x v="1924"/>
    <x v="1"/>
    <x v="10"/>
    <x v="1"/>
    <n v="2"/>
    <n v="77"/>
    <n v="154"/>
    <x v="0"/>
  </r>
  <r>
    <n v="1926"/>
    <x v="597"/>
    <x v="4"/>
    <x v="1"/>
    <x v="1925"/>
    <x v="1"/>
    <x v="25"/>
    <x v="0"/>
    <n v="3"/>
    <n v="85"/>
    <n v="255"/>
    <x v="1"/>
  </r>
  <r>
    <n v="1927"/>
    <x v="630"/>
    <x v="5"/>
    <x v="1"/>
    <x v="1926"/>
    <x v="0"/>
    <x v="8"/>
    <x v="0"/>
    <n v="2"/>
    <n v="116"/>
    <n v="232"/>
    <x v="2"/>
  </r>
  <r>
    <n v="1928"/>
    <x v="566"/>
    <x v="2"/>
    <x v="1"/>
    <x v="1927"/>
    <x v="1"/>
    <x v="32"/>
    <x v="1"/>
    <n v="4"/>
    <n v="101"/>
    <n v="404"/>
    <x v="2"/>
  </r>
  <r>
    <n v="1929"/>
    <x v="544"/>
    <x v="8"/>
    <x v="1"/>
    <x v="1928"/>
    <x v="1"/>
    <x v="35"/>
    <x v="2"/>
    <n v="3"/>
    <n v="473"/>
    <n v="1419"/>
    <x v="0"/>
  </r>
  <r>
    <n v="1930"/>
    <x v="488"/>
    <x v="11"/>
    <x v="1"/>
    <x v="1929"/>
    <x v="1"/>
    <x v="45"/>
    <x v="0"/>
    <n v="3"/>
    <n v="160"/>
    <n v="480"/>
    <x v="0"/>
  </r>
  <r>
    <n v="1931"/>
    <x v="404"/>
    <x v="8"/>
    <x v="1"/>
    <x v="1930"/>
    <x v="0"/>
    <x v="3"/>
    <x v="1"/>
    <n v="2"/>
    <n v="188"/>
    <n v="376"/>
    <x v="0"/>
  </r>
  <r>
    <n v="1932"/>
    <x v="461"/>
    <x v="10"/>
    <x v="1"/>
    <x v="1931"/>
    <x v="1"/>
    <x v="24"/>
    <x v="0"/>
    <n v="4"/>
    <n v="442"/>
    <n v="1768"/>
    <x v="1"/>
  </r>
  <r>
    <n v="1933"/>
    <x v="422"/>
    <x v="11"/>
    <x v="1"/>
    <x v="1932"/>
    <x v="0"/>
    <x v="42"/>
    <x v="2"/>
    <n v="3"/>
    <n v="99"/>
    <n v="297"/>
    <x v="0"/>
  </r>
  <r>
    <n v="1934"/>
    <x v="657"/>
    <x v="11"/>
    <x v="1"/>
    <x v="1933"/>
    <x v="1"/>
    <x v="43"/>
    <x v="1"/>
    <n v="4"/>
    <n v="205"/>
    <n v="820"/>
    <x v="0"/>
  </r>
  <r>
    <n v="1935"/>
    <x v="443"/>
    <x v="9"/>
    <x v="1"/>
    <x v="1934"/>
    <x v="1"/>
    <x v="28"/>
    <x v="2"/>
    <n v="4"/>
    <n v="333"/>
    <n v="1332"/>
    <x v="1"/>
  </r>
  <r>
    <n v="1936"/>
    <x v="672"/>
    <x v="0"/>
    <x v="1"/>
    <x v="1935"/>
    <x v="1"/>
    <x v="43"/>
    <x v="0"/>
    <n v="2"/>
    <n v="221"/>
    <n v="442"/>
    <x v="0"/>
  </r>
  <r>
    <n v="1937"/>
    <x v="652"/>
    <x v="2"/>
    <x v="1"/>
    <x v="1936"/>
    <x v="1"/>
    <x v="6"/>
    <x v="0"/>
    <n v="4"/>
    <n v="297"/>
    <n v="1188"/>
    <x v="2"/>
  </r>
  <r>
    <n v="1938"/>
    <x v="427"/>
    <x v="7"/>
    <x v="1"/>
    <x v="1937"/>
    <x v="0"/>
    <x v="29"/>
    <x v="1"/>
    <n v="4"/>
    <n v="294"/>
    <n v="1176"/>
    <x v="2"/>
  </r>
  <r>
    <n v="1939"/>
    <x v="667"/>
    <x v="7"/>
    <x v="1"/>
    <x v="1938"/>
    <x v="0"/>
    <x v="11"/>
    <x v="1"/>
    <n v="2"/>
    <n v="210"/>
    <n v="420"/>
    <x v="2"/>
  </r>
  <r>
    <n v="1940"/>
    <x v="647"/>
    <x v="6"/>
    <x v="1"/>
    <x v="1939"/>
    <x v="0"/>
    <x v="0"/>
    <x v="2"/>
    <n v="4"/>
    <n v="93"/>
    <n v="372"/>
    <x v="0"/>
  </r>
  <r>
    <n v="1941"/>
    <x v="519"/>
    <x v="11"/>
    <x v="1"/>
    <x v="1940"/>
    <x v="0"/>
    <x v="5"/>
    <x v="2"/>
    <n v="2"/>
    <n v="175"/>
    <n v="350"/>
    <x v="0"/>
  </r>
  <r>
    <n v="1942"/>
    <x v="559"/>
    <x v="2"/>
    <x v="1"/>
    <x v="1941"/>
    <x v="0"/>
    <x v="2"/>
    <x v="2"/>
    <n v="2"/>
    <n v="132"/>
    <n v="264"/>
    <x v="2"/>
  </r>
  <r>
    <n v="1943"/>
    <x v="623"/>
    <x v="1"/>
    <x v="1"/>
    <x v="1942"/>
    <x v="0"/>
    <x v="43"/>
    <x v="1"/>
    <n v="2"/>
    <n v="218"/>
    <n v="436"/>
    <x v="1"/>
  </r>
  <r>
    <n v="1944"/>
    <x v="636"/>
    <x v="6"/>
    <x v="1"/>
    <x v="1943"/>
    <x v="1"/>
    <x v="37"/>
    <x v="1"/>
    <n v="1"/>
    <n v="364"/>
    <n v="364"/>
    <x v="0"/>
  </r>
  <r>
    <n v="1945"/>
    <x v="531"/>
    <x v="7"/>
    <x v="1"/>
    <x v="1944"/>
    <x v="0"/>
    <x v="40"/>
    <x v="0"/>
    <n v="2"/>
    <n v="40"/>
    <n v="80"/>
    <x v="2"/>
  </r>
  <r>
    <n v="1946"/>
    <x v="461"/>
    <x v="10"/>
    <x v="1"/>
    <x v="1945"/>
    <x v="1"/>
    <x v="30"/>
    <x v="1"/>
    <n v="2"/>
    <n v="64"/>
    <n v="128"/>
    <x v="1"/>
  </r>
  <r>
    <n v="1947"/>
    <x v="567"/>
    <x v="6"/>
    <x v="1"/>
    <x v="1946"/>
    <x v="1"/>
    <x v="30"/>
    <x v="1"/>
    <n v="4"/>
    <n v="405"/>
    <n v="1620"/>
    <x v="0"/>
  </r>
  <r>
    <n v="1948"/>
    <x v="466"/>
    <x v="10"/>
    <x v="1"/>
    <x v="1947"/>
    <x v="1"/>
    <x v="40"/>
    <x v="2"/>
    <n v="3"/>
    <n v="252"/>
    <n v="756"/>
    <x v="1"/>
  </r>
  <r>
    <n v="1949"/>
    <x v="495"/>
    <x v="0"/>
    <x v="1"/>
    <x v="1948"/>
    <x v="0"/>
    <x v="39"/>
    <x v="1"/>
    <n v="2"/>
    <n v="55"/>
    <n v="110"/>
    <x v="0"/>
  </r>
  <r>
    <n v="1950"/>
    <x v="351"/>
    <x v="0"/>
    <x v="1"/>
    <x v="1949"/>
    <x v="0"/>
    <x v="32"/>
    <x v="1"/>
    <n v="2"/>
    <n v="30"/>
    <n v="60"/>
    <x v="0"/>
  </r>
  <r>
    <n v="1951"/>
    <x v="361"/>
    <x v="5"/>
    <x v="1"/>
    <x v="1950"/>
    <x v="1"/>
    <x v="17"/>
    <x v="2"/>
    <n v="3"/>
    <n v="495"/>
    <n v="1485"/>
    <x v="2"/>
  </r>
  <r>
    <n v="1952"/>
    <x v="349"/>
    <x v="7"/>
    <x v="1"/>
    <x v="1951"/>
    <x v="1"/>
    <x v="23"/>
    <x v="1"/>
    <n v="4"/>
    <n v="105"/>
    <n v="420"/>
    <x v="2"/>
  </r>
  <r>
    <n v="1953"/>
    <x v="549"/>
    <x v="4"/>
    <x v="1"/>
    <x v="1952"/>
    <x v="0"/>
    <x v="18"/>
    <x v="2"/>
    <n v="2"/>
    <n v="405"/>
    <n v="810"/>
    <x v="1"/>
  </r>
  <r>
    <n v="1954"/>
    <x v="602"/>
    <x v="1"/>
    <x v="1"/>
    <x v="1953"/>
    <x v="1"/>
    <x v="35"/>
    <x v="1"/>
    <n v="2"/>
    <n v="225"/>
    <n v="450"/>
    <x v="1"/>
  </r>
  <r>
    <n v="1955"/>
    <x v="411"/>
    <x v="1"/>
    <x v="1"/>
    <x v="1954"/>
    <x v="0"/>
    <x v="11"/>
    <x v="2"/>
    <n v="4"/>
    <n v="185"/>
    <n v="740"/>
    <x v="1"/>
  </r>
  <r>
    <n v="1956"/>
    <x v="384"/>
    <x v="0"/>
    <x v="1"/>
    <x v="1955"/>
    <x v="1"/>
    <x v="29"/>
    <x v="1"/>
    <n v="1"/>
    <n v="436"/>
    <n v="436"/>
    <x v="0"/>
  </r>
  <r>
    <n v="1957"/>
    <x v="538"/>
    <x v="5"/>
    <x v="1"/>
    <x v="1956"/>
    <x v="1"/>
    <x v="27"/>
    <x v="2"/>
    <n v="1"/>
    <n v="78"/>
    <n v="78"/>
    <x v="2"/>
  </r>
  <r>
    <n v="1958"/>
    <x v="571"/>
    <x v="11"/>
    <x v="1"/>
    <x v="1957"/>
    <x v="1"/>
    <x v="32"/>
    <x v="2"/>
    <n v="1"/>
    <n v="147"/>
    <n v="147"/>
    <x v="0"/>
  </r>
  <r>
    <n v="1959"/>
    <x v="597"/>
    <x v="4"/>
    <x v="1"/>
    <x v="1958"/>
    <x v="0"/>
    <x v="6"/>
    <x v="1"/>
    <n v="1"/>
    <n v="133"/>
    <n v="133"/>
    <x v="1"/>
  </r>
  <r>
    <n v="1960"/>
    <x v="679"/>
    <x v="0"/>
    <x v="1"/>
    <x v="1959"/>
    <x v="0"/>
    <x v="34"/>
    <x v="1"/>
    <n v="2"/>
    <n v="351"/>
    <n v="702"/>
    <x v="0"/>
  </r>
  <r>
    <n v="1961"/>
    <x v="431"/>
    <x v="6"/>
    <x v="1"/>
    <x v="1960"/>
    <x v="0"/>
    <x v="12"/>
    <x v="1"/>
    <n v="1"/>
    <n v="313"/>
    <n v="313"/>
    <x v="0"/>
  </r>
  <r>
    <n v="1962"/>
    <x v="435"/>
    <x v="3"/>
    <x v="1"/>
    <x v="1961"/>
    <x v="0"/>
    <x v="21"/>
    <x v="2"/>
    <n v="1"/>
    <n v="183"/>
    <n v="183"/>
    <x v="2"/>
  </r>
  <r>
    <n v="1963"/>
    <x v="487"/>
    <x v="6"/>
    <x v="1"/>
    <x v="1962"/>
    <x v="1"/>
    <x v="39"/>
    <x v="2"/>
    <n v="2"/>
    <n v="186"/>
    <n v="372"/>
    <x v="0"/>
  </r>
  <r>
    <n v="1964"/>
    <x v="499"/>
    <x v="5"/>
    <x v="1"/>
    <x v="1963"/>
    <x v="1"/>
    <x v="43"/>
    <x v="0"/>
    <n v="1"/>
    <n v="194"/>
    <n v="194"/>
    <x v="2"/>
  </r>
  <r>
    <n v="1965"/>
    <x v="527"/>
    <x v="5"/>
    <x v="1"/>
    <x v="1964"/>
    <x v="0"/>
    <x v="26"/>
    <x v="1"/>
    <n v="1"/>
    <n v="325"/>
    <n v="325"/>
    <x v="2"/>
  </r>
  <r>
    <n v="1966"/>
    <x v="382"/>
    <x v="5"/>
    <x v="1"/>
    <x v="1965"/>
    <x v="1"/>
    <x v="15"/>
    <x v="1"/>
    <n v="3"/>
    <n v="107"/>
    <n v="321"/>
    <x v="2"/>
  </r>
  <r>
    <n v="1967"/>
    <x v="381"/>
    <x v="10"/>
    <x v="1"/>
    <x v="1966"/>
    <x v="1"/>
    <x v="16"/>
    <x v="0"/>
    <n v="1"/>
    <n v="392"/>
    <n v="392"/>
    <x v="1"/>
  </r>
  <r>
    <n v="1968"/>
    <x v="390"/>
    <x v="1"/>
    <x v="1"/>
    <x v="1967"/>
    <x v="0"/>
    <x v="17"/>
    <x v="0"/>
    <n v="2"/>
    <n v="418"/>
    <n v="836"/>
    <x v="1"/>
  </r>
  <r>
    <n v="1969"/>
    <x v="492"/>
    <x v="10"/>
    <x v="1"/>
    <x v="1968"/>
    <x v="1"/>
    <x v="24"/>
    <x v="1"/>
    <n v="3"/>
    <n v="173"/>
    <n v="519"/>
    <x v="1"/>
  </r>
  <r>
    <n v="1970"/>
    <x v="630"/>
    <x v="5"/>
    <x v="1"/>
    <x v="1969"/>
    <x v="1"/>
    <x v="8"/>
    <x v="0"/>
    <n v="4"/>
    <n v="147"/>
    <n v="588"/>
    <x v="2"/>
  </r>
  <r>
    <n v="1971"/>
    <x v="548"/>
    <x v="1"/>
    <x v="1"/>
    <x v="1970"/>
    <x v="0"/>
    <x v="30"/>
    <x v="0"/>
    <n v="4"/>
    <n v="74"/>
    <n v="296"/>
    <x v="1"/>
  </r>
  <r>
    <n v="1972"/>
    <x v="391"/>
    <x v="6"/>
    <x v="1"/>
    <x v="1971"/>
    <x v="0"/>
    <x v="34"/>
    <x v="0"/>
    <n v="1"/>
    <n v="280"/>
    <n v="280"/>
    <x v="0"/>
  </r>
  <r>
    <n v="1973"/>
    <x v="603"/>
    <x v="11"/>
    <x v="1"/>
    <x v="1972"/>
    <x v="1"/>
    <x v="31"/>
    <x v="1"/>
    <n v="3"/>
    <n v="107"/>
    <n v="321"/>
    <x v="0"/>
  </r>
  <r>
    <n v="1974"/>
    <x v="422"/>
    <x v="11"/>
    <x v="1"/>
    <x v="1973"/>
    <x v="1"/>
    <x v="42"/>
    <x v="2"/>
    <n v="3"/>
    <n v="70"/>
    <n v="210"/>
    <x v="0"/>
  </r>
  <r>
    <n v="1975"/>
    <x v="362"/>
    <x v="11"/>
    <x v="1"/>
    <x v="1974"/>
    <x v="0"/>
    <x v="23"/>
    <x v="2"/>
    <n v="3"/>
    <n v="267"/>
    <n v="801"/>
    <x v="0"/>
  </r>
  <r>
    <n v="1976"/>
    <x v="635"/>
    <x v="4"/>
    <x v="1"/>
    <x v="1975"/>
    <x v="1"/>
    <x v="19"/>
    <x v="1"/>
    <n v="1"/>
    <n v="316"/>
    <n v="316"/>
    <x v="1"/>
  </r>
  <r>
    <n v="1977"/>
    <x v="469"/>
    <x v="3"/>
    <x v="1"/>
    <x v="1976"/>
    <x v="0"/>
    <x v="37"/>
    <x v="2"/>
    <n v="4"/>
    <n v="234"/>
    <n v="936"/>
    <x v="2"/>
  </r>
  <r>
    <n v="1978"/>
    <x v="454"/>
    <x v="0"/>
    <x v="1"/>
    <x v="1977"/>
    <x v="0"/>
    <x v="24"/>
    <x v="2"/>
    <n v="3"/>
    <n v="216"/>
    <n v="648"/>
    <x v="0"/>
  </r>
  <r>
    <n v="1979"/>
    <x v="358"/>
    <x v="11"/>
    <x v="1"/>
    <x v="1978"/>
    <x v="1"/>
    <x v="26"/>
    <x v="2"/>
    <n v="3"/>
    <n v="474"/>
    <n v="1422"/>
    <x v="0"/>
  </r>
  <r>
    <n v="1980"/>
    <x v="484"/>
    <x v="8"/>
    <x v="1"/>
    <x v="1979"/>
    <x v="0"/>
    <x v="35"/>
    <x v="0"/>
    <n v="1"/>
    <n v="404"/>
    <n v="404"/>
    <x v="0"/>
  </r>
  <r>
    <n v="1981"/>
    <x v="444"/>
    <x v="4"/>
    <x v="1"/>
    <x v="1980"/>
    <x v="0"/>
    <x v="30"/>
    <x v="1"/>
    <n v="3"/>
    <n v="217"/>
    <n v="651"/>
    <x v="1"/>
  </r>
  <r>
    <n v="1982"/>
    <x v="586"/>
    <x v="10"/>
    <x v="1"/>
    <x v="1981"/>
    <x v="1"/>
    <x v="25"/>
    <x v="1"/>
    <n v="4"/>
    <n v="472"/>
    <n v="1888"/>
    <x v="1"/>
  </r>
  <r>
    <n v="1983"/>
    <x v="524"/>
    <x v="2"/>
    <x v="1"/>
    <x v="1982"/>
    <x v="0"/>
    <x v="5"/>
    <x v="2"/>
    <n v="4"/>
    <n v="353"/>
    <n v="1412"/>
    <x v="2"/>
  </r>
  <r>
    <n v="1984"/>
    <x v="502"/>
    <x v="3"/>
    <x v="1"/>
    <x v="1983"/>
    <x v="1"/>
    <x v="1"/>
    <x v="1"/>
    <n v="2"/>
    <n v="399"/>
    <n v="798"/>
    <x v="2"/>
  </r>
  <r>
    <n v="1985"/>
    <x v="459"/>
    <x v="11"/>
    <x v="1"/>
    <x v="1984"/>
    <x v="1"/>
    <x v="28"/>
    <x v="1"/>
    <n v="4"/>
    <n v="193"/>
    <n v="772"/>
    <x v="0"/>
  </r>
  <r>
    <n v="1986"/>
    <x v="455"/>
    <x v="11"/>
    <x v="1"/>
    <x v="1985"/>
    <x v="1"/>
    <x v="44"/>
    <x v="0"/>
    <n v="4"/>
    <n v="133"/>
    <n v="532"/>
    <x v="0"/>
  </r>
  <r>
    <n v="1987"/>
    <x v="599"/>
    <x v="8"/>
    <x v="1"/>
    <x v="1986"/>
    <x v="1"/>
    <x v="41"/>
    <x v="2"/>
    <n v="4"/>
    <n v="44"/>
    <n v="176"/>
    <x v="0"/>
  </r>
  <r>
    <n v="1988"/>
    <x v="473"/>
    <x v="7"/>
    <x v="1"/>
    <x v="1987"/>
    <x v="0"/>
    <x v="40"/>
    <x v="1"/>
    <n v="2"/>
    <n v="188"/>
    <n v="376"/>
    <x v="2"/>
  </r>
  <r>
    <n v="1989"/>
    <x v="550"/>
    <x v="7"/>
    <x v="1"/>
    <x v="1988"/>
    <x v="0"/>
    <x v="32"/>
    <x v="2"/>
    <n v="1"/>
    <n v="438"/>
    <n v="438"/>
    <x v="2"/>
  </r>
  <r>
    <n v="1990"/>
    <x v="515"/>
    <x v="5"/>
    <x v="1"/>
    <x v="1989"/>
    <x v="1"/>
    <x v="40"/>
    <x v="1"/>
    <n v="1"/>
    <n v="133"/>
    <n v="133"/>
    <x v="2"/>
  </r>
  <r>
    <n v="1991"/>
    <x v="580"/>
    <x v="6"/>
    <x v="1"/>
    <x v="1990"/>
    <x v="1"/>
    <x v="12"/>
    <x v="2"/>
    <n v="2"/>
    <n v="67"/>
    <n v="134"/>
    <x v="0"/>
  </r>
  <r>
    <n v="1992"/>
    <x v="505"/>
    <x v="10"/>
    <x v="1"/>
    <x v="1991"/>
    <x v="0"/>
    <x v="12"/>
    <x v="2"/>
    <n v="1"/>
    <n v="177"/>
    <n v="177"/>
    <x v="1"/>
  </r>
  <r>
    <n v="1993"/>
    <x v="404"/>
    <x v="8"/>
    <x v="1"/>
    <x v="1992"/>
    <x v="1"/>
    <x v="38"/>
    <x v="0"/>
    <n v="2"/>
    <n v="367"/>
    <n v="734"/>
    <x v="0"/>
  </r>
  <r>
    <n v="1994"/>
    <x v="553"/>
    <x v="4"/>
    <x v="1"/>
    <x v="1993"/>
    <x v="0"/>
    <x v="21"/>
    <x v="1"/>
    <n v="4"/>
    <n v="200"/>
    <n v="800"/>
    <x v="1"/>
  </r>
  <r>
    <n v="1995"/>
    <x v="680"/>
    <x v="9"/>
    <x v="1"/>
    <x v="1994"/>
    <x v="0"/>
    <x v="27"/>
    <x v="2"/>
    <n v="4"/>
    <n v="271"/>
    <n v="1084"/>
    <x v="1"/>
  </r>
  <r>
    <n v="1996"/>
    <x v="639"/>
    <x v="2"/>
    <x v="1"/>
    <x v="1995"/>
    <x v="0"/>
    <x v="11"/>
    <x v="2"/>
    <n v="3"/>
    <n v="492"/>
    <n v="1476"/>
    <x v="2"/>
  </r>
  <r>
    <n v="1997"/>
    <x v="400"/>
    <x v="8"/>
    <x v="1"/>
    <x v="1996"/>
    <x v="1"/>
    <x v="3"/>
    <x v="0"/>
    <n v="2"/>
    <n v="64"/>
    <n v="128"/>
    <x v="0"/>
  </r>
  <r>
    <n v="1998"/>
    <x v="544"/>
    <x v="8"/>
    <x v="1"/>
    <x v="1997"/>
    <x v="0"/>
    <x v="31"/>
    <x v="0"/>
    <n v="3"/>
    <n v="32"/>
    <n v="96"/>
    <x v="0"/>
  </r>
  <r>
    <n v="1999"/>
    <x v="381"/>
    <x v="10"/>
    <x v="1"/>
    <x v="1998"/>
    <x v="1"/>
    <x v="30"/>
    <x v="2"/>
    <n v="3"/>
    <n v="83"/>
    <n v="249"/>
    <x v="1"/>
  </r>
  <r>
    <n v="2000"/>
    <x v="446"/>
    <x v="8"/>
    <x v="1"/>
    <x v="1999"/>
    <x v="1"/>
    <x v="22"/>
    <x v="0"/>
    <n v="1"/>
    <n v="255"/>
    <n v="25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312F4-385D-488E-8755-70C7F00CACB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ason">
  <location ref="H27:I31" firstHeaderRow="1" firstDataRow="1" firstDataCol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axis="axisRow" showAll="0">
      <items count="7">
        <item m="1" x="4"/>
        <item x="2"/>
        <item m="1" x="5"/>
        <item x="0"/>
        <item x="1"/>
        <item m="1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Total Sales" fld="10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5A5AD-18EE-4DB9-9071-20F0851EDB5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Age" colHeaderCaption="Gender">
  <location ref="J3:K9" firstHeaderRow="1" firstDataRow="1" firstDataCol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>
      <items count="7">
        <item m="1" x="3"/>
        <item m="1" x="4"/>
        <item x="0"/>
        <item x="2"/>
        <item m="1" x="5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4" subtotal="count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7BFC8-F928-45F4-980E-958F052C01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E20:G24" firstHeaderRow="0" firstDataRow="1" firstDataCol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>
      <items count="7">
        <item m="1" x="3"/>
        <item m="1" x="4"/>
        <item x="0"/>
        <item x="2"/>
        <item m="1" x="5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10" baseField="6" baseItem="1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12723-D4FE-4C01-B00D-00BA9E619BF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" colHeaderCaption="Gender">
  <location ref="G3:H6" firstHeaderRow="1" firstDataRow="1" firstDataCol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>
      <items count="7">
        <item m="1" x="3"/>
        <item m="1" x="4"/>
        <item x="0"/>
        <item x="2"/>
        <item m="1" x="5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Total Sales" fld="10" baseField="4" baseItem="0"/>
  </dataFields>
  <chartFormats count="3"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09E78-4F05-40D1-BB24-DE529B0571E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roducts">
  <location ref="E27:F31" firstHeaderRow="1" firstDataRow="1" firstDataCol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7">
        <item m="1" x="3"/>
        <item m="1" x="4"/>
        <item x="0"/>
        <item x="2"/>
        <item m="1" x="5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Total Sales" fld="10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3A294-7333-42EA-A406-19BE78D3FD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ly Date">
  <location ref="A3:B30" firstHeaderRow="1" firstDataRow="1" firstDataCol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>
      <items count="7">
        <item m="1" x="3"/>
        <item m="1" x="4"/>
        <item x="0"/>
        <item x="2"/>
        <item m="1" x="5"/>
        <item x="1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3"/>
    <field x="12"/>
  </rowFields>
  <rowItems count="27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668F3-9AFC-468E-A460-768420128C8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 rowHeaderCaption="Customer ID">
  <location ref="K21:L31" firstHeaderRow="1" firstDataRow="1" firstDataCol="1"/>
  <pivotFields count="14">
    <pivotField compact="0" outline="0" showAll="0"/>
    <pivotField compact="0" numFmtId="14" outline="0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compact="0" outline="0"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 measureFilter="1" sortType="ascending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28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88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1735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1189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438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105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882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256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506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7">
        <item m="1" x="3"/>
        <item m="1" x="4"/>
        <item x="0"/>
        <item x="2"/>
        <item m="1" x="5"/>
        <item x="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10">
    <i>
      <x v="438"/>
    </i>
    <i>
      <x v="105"/>
    </i>
    <i>
      <x v="256"/>
    </i>
    <i>
      <x v="506"/>
    </i>
    <i>
      <x v="1189"/>
    </i>
    <i>
      <x v="774"/>
    </i>
    <i>
      <x v="882"/>
    </i>
    <i>
      <x v="1735"/>
    </i>
    <i>
      <x v="1284"/>
    </i>
    <i>
      <x v="988"/>
    </i>
  </rowItems>
  <colItems count="1">
    <i/>
  </colItems>
  <dataFields count="1">
    <dataField name="Total Sales" fld="10" baseField="11" baseItem="1"/>
  </dataFields>
  <pivotTableStyleInfo name="PivotStyleMedium9" showRowHeaders="1" showColHeaders="1" showRowStripes="1" showColStripes="1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41A14-AE86-4AD2-8261-B625DBB3BF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 colHeaderCaption="Age Group">
  <location ref="E12:K17" firstHeaderRow="1" firstDataRow="2" firstDataCol="1" rowPageCount="1" colPageCount="1"/>
  <pivotFields count="14">
    <pivotField showAll="0"/>
    <pivotField numFmtId="14" showAll="0">
      <items count="682">
        <item x="208"/>
        <item x="140"/>
        <item x="206"/>
        <item x="320"/>
        <item x="56"/>
        <item x="107"/>
        <item x="116"/>
        <item x="114"/>
        <item x="109"/>
        <item x="237"/>
        <item x="339"/>
        <item x="295"/>
        <item x="65"/>
        <item x="145"/>
        <item x="275"/>
        <item x="124"/>
        <item x="300"/>
        <item x="57"/>
        <item x="293"/>
        <item x="233"/>
        <item x="241"/>
        <item x="7"/>
        <item x="78"/>
        <item x="308"/>
        <item x="232"/>
        <item x="172"/>
        <item x="39"/>
        <item x="181"/>
        <item x="42"/>
        <item x="284"/>
        <item x="238"/>
        <item x="248"/>
        <item x="118"/>
        <item x="212"/>
        <item x="66"/>
        <item x="93"/>
        <item x="253"/>
        <item x="41"/>
        <item x="185"/>
        <item x="187"/>
        <item x="46"/>
        <item x="203"/>
        <item x="195"/>
        <item x="286"/>
        <item x="133"/>
        <item x="169"/>
        <item x="333"/>
        <item x="262"/>
        <item x="150"/>
        <item x="144"/>
        <item x="141"/>
        <item x="189"/>
        <item x="51"/>
        <item x="81"/>
        <item x="40"/>
        <item x="179"/>
        <item x="23"/>
        <item x="309"/>
        <item x="137"/>
        <item x="45"/>
        <item x="171"/>
        <item x="58"/>
        <item x="225"/>
        <item x="279"/>
        <item x="246"/>
        <item x="341"/>
        <item x="20"/>
        <item x="244"/>
        <item x="230"/>
        <item x="142"/>
        <item x="318"/>
        <item x="163"/>
        <item x="119"/>
        <item x="88"/>
        <item x="190"/>
        <item x="285"/>
        <item x="175"/>
        <item x="63"/>
        <item x="319"/>
        <item x="98"/>
        <item x="313"/>
        <item x="298"/>
        <item x="76"/>
        <item x="261"/>
        <item x="220"/>
        <item x="73"/>
        <item x="25"/>
        <item x="337"/>
        <item x="214"/>
        <item x="117"/>
        <item x="44"/>
        <item x="292"/>
        <item x="149"/>
        <item x="9"/>
        <item x="113"/>
        <item x="226"/>
        <item x="289"/>
        <item x="64"/>
        <item x="334"/>
        <item x="47"/>
        <item x="276"/>
        <item x="122"/>
        <item x="324"/>
        <item x="302"/>
        <item x="89"/>
        <item x="112"/>
        <item x="247"/>
        <item x="92"/>
        <item x="305"/>
        <item x="1"/>
        <item x="153"/>
        <item x="307"/>
        <item x="255"/>
        <item x="273"/>
        <item x="242"/>
        <item x="77"/>
        <item x="61"/>
        <item x="86"/>
        <item x="229"/>
        <item x="110"/>
        <item x="106"/>
        <item x="33"/>
        <item x="271"/>
        <item x="127"/>
        <item x="270"/>
        <item x="168"/>
        <item x="97"/>
        <item x="85"/>
        <item x="95"/>
        <item x="55"/>
        <item x="18"/>
        <item x="342"/>
        <item x="16"/>
        <item x="265"/>
        <item x="87"/>
        <item x="54"/>
        <item x="5"/>
        <item x="268"/>
        <item x="202"/>
        <item x="49"/>
        <item x="74"/>
        <item x="135"/>
        <item x="10"/>
        <item x="115"/>
        <item x="215"/>
        <item x="148"/>
        <item x="240"/>
        <item x="222"/>
        <item x="228"/>
        <item x="126"/>
        <item x="28"/>
        <item x="72"/>
        <item x="99"/>
        <item x="69"/>
        <item x="263"/>
        <item x="297"/>
        <item x="254"/>
        <item x="131"/>
        <item x="27"/>
        <item x="15"/>
        <item x="280"/>
        <item x="198"/>
        <item x="36"/>
        <item x="62"/>
        <item x="338"/>
        <item x="96"/>
        <item x="213"/>
        <item x="315"/>
        <item x="52"/>
        <item x="317"/>
        <item x="221"/>
        <item x="343"/>
        <item x="91"/>
        <item x="260"/>
        <item x="59"/>
        <item x="281"/>
        <item x="160"/>
        <item x="151"/>
        <item x="328"/>
        <item x="155"/>
        <item x="331"/>
        <item x="170"/>
        <item x="26"/>
        <item x="199"/>
        <item x="299"/>
        <item x="6"/>
        <item x="22"/>
        <item x="245"/>
        <item x="204"/>
        <item x="211"/>
        <item x="251"/>
        <item x="321"/>
        <item x="154"/>
        <item x="161"/>
        <item x="80"/>
        <item x="311"/>
        <item x="134"/>
        <item x="304"/>
        <item x="123"/>
        <item x="278"/>
        <item x="316"/>
        <item x="79"/>
        <item x="120"/>
        <item x="336"/>
        <item x="103"/>
        <item x="2"/>
        <item x="243"/>
        <item x="102"/>
        <item x="38"/>
        <item x="24"/>
        <item x="186"/>
        <item x="200"/>
        <item x="75"/>
        <item x="340"/>
        <item x="4"/>
        <item x="252"/>
        <item x="167"/>
        <item x="11"/>
        <item x="139"/>
        <item x="48"/>
        <item x="104"/>
        <item x="14"/>
        <item x="83"/>
        <item x="90"/>
        <item x="201"/>
        <item x="205"/>
        <item x="37"/>
        <item x="30"/>
        <item x="43"/>
        <item x="164"/>
        <item x="326"/>
        <item x="147"/>
        <item x="29"/>
        <item x="258"/>
        <item x="53"/>
        <item x="130"/>
        <item x="223"/>
        <item x="132"/>
        <item x="182"/>
        <item x="287"/>
        <item x="152"/>
        <item x="249"/>
        <item x="3"/>
        <item x="192"/>
        <item x="314"/>
        <item x="188"/>
        <item x="332"/>
        <item x="207"/>
        <item x="129"/>
        <item x="71"/>
        <item x="325"/>
        <item x="196"/>
        <item x="294"/>
        <item x="174"/>
        <item x="239"/>
        <item x="227"/>
        <item x="67"/>
        <item x="105"/>
        <item x="31"/>
        <item x="256"/>
        <item x="210"/>
        <item x="269"/>
        <item x="84"/>
        <item x="322"/>
        <item x="8"/>
        <item x="34"/>
        <item x="108"/>
        <item x="82"/>
        <item x="60"/>
        <item x="296"/>
        <item x="191"/>
        <item x="291"/>
        <item x="176"/>
        <item x="194"/>
        <item x="277"/>
        <item x="224"/>
        <item x="70"/>
        <item x="68"/>
        <item x="235"/>
        <item x="19"/>
        <item x="290"/>
        <item x="327"/>
        <item x="312"/>
        <item x="100"/>
        <item x="193"/>
        <item x="166"/>
        <item x="250"/>
        <item x="330"/>
        <item x="282"/>
        <item x="303"/>
        <item x="157"/>
        <item x="234"/>
        <item x="264"/>
        <item x="231"/>
        <item x="177"/>
        <item x="121"/>
        <item x="288"/>
        <item x="125"/>
        <item x="21"/>
        <item x="136"/>
        <item x="143"/>
        <item x="306"/>
        <item x="13"/>
        <item x="283"/>
        <item x="0"/>
        <item x="301"/>
        <item x="94"/>
        <item x="219"/>
        <item x="216"/>
        <item x="32"/>
        <item x="266"/>
        <item x="50"/>
        <item x="17"/>
        <item x="173"/>
        <item x="323"/>
        <item x="178"/>
        <item x="162"/>
        <item x="209"/>
        <item x="180"/>
        <item x="257"/>
        <item x="12"/>
        <item x="128"/>
        <item x="156"/>
        <item x="197"/>
        <item x="236"/>
        <item x="146"/>
        <item x="101"/>
        <item x="310"/>
        <item x="335"/>
        <item x="218"/>
        <item x="217"/>
        <item x="267"/>
        <item x="159"/>
        <item x="259"/>
        <item x="158"/>
        <item x="111"/>
        <item x="183"/>
        <item x="138"/>
        <item x="35"/>
        <item x="274"/>
        <item x="165"/>
        <item x="344"/>
        <item x="647"/>
        <item x="641"/>
        <item x="423"/>
        <item x="487"/>
        <item x="468"/>
        <item x="567"/>
        <item x="391"/>
        <item x="676"/>
        <item x="583"/>
        <item x="578"/>
        <item x="580"/>
        <item x="184"/>
        <item x="636"/>
        <item x="633"/>
        <item x="648"/>
        <item x="431"/>
        <item x="497"/>
        <item x="476"/>
        <item x="347"/>
        <item x="394"/>
        <item x="393"/>
        <item x="420"/>
        <item x="622"/>
        <item x="356"/>
        <item x="594"/>
        <item x="368"/>
        <item x="352"/>
        <item x="418"/>
        <item x="380"/>
        <item x="588"/>
        <item x="455"/>
        <item x="422"/>
        <item x="494"/>
        <item x="362"/>
        <item x="571"/>
        <item x="358"/>
        <item x="577"/>
        <item x="412"/>
        <item x="513"/>
        <item x="657"/>
        <item x="542"/>
        <item x="603"/>
        <item x="485"/>
        <item x="511"/>
        <item x="488"/>
        <item x="659"/>
        <item x="459"/>
        <item x="519"/>
        <item x="451"/>
        <item x="401"/>
        <item x="518"/>
        <item x="504"/>
        <item x="353"/>
        <item x="589"/>
        <item x="563"/>
        <item x="661"/>
        <item x="464"/>
        <item x="631"/>
        <item x="406"/>
        <item x="596"/>
        <item x="345"/>
        <item x="385"/>
        <item x="466"/>
        <item x="505"/>
        <item x="557"/>
        <item x="366"/>
        <item x="461"/>
        <item x="441"/>
        <item x="381"/>
        <item x="482"/>
        <item x="426"/>
        <item x="378"/>
        <item x="586"/>
        <item x="492"/>
        <item x="646"/>
        <item x="624"/>
        <item x="396"/>
        <item x="372"/>
        <item x="507"/>
        <item x="480"/>
        <item x="516"/>
        <item x="604"/>
        <item x="471"/>
        <item x="664"/>
        <item x="411"/>
        <item x="614"/>
        <item x="388"/>
        <item x="503"/>
        <item x="489"/>
        <item x="555"/>
        <item x="649"/>
        <item x="376"/>
        <item x="621"/>
        <item x="434"/>
        <item x="392"/>
        <item x="537"/>
        <item x="548"/>
        <item x="439"/>
        <item x="602"/>
        <item x="509"/>
        <item x="460"/>
        <item x="660"/>
        <item x="640"/>
        <item x="623"/>
        <item x="670"/>
        <item x="561"/>
        <item x="390"/>
        <item x="634"/>
        <item x="514"/>
        <item x="432"/>
        <item x="642"/>
        <item x="645"/>
        <item x="444"/>
        <item x="377"/>
        <item x="612"/>
        <item x="570"/>
        <item x="613"/>
        <item x="635"/>
        <item x="553"/>
        <item x="600"/>
        <item x="552"/>
        <item x="605"/>
        <item x="532"/>
        <item x="674"/>
        <item x="669"/>
        <item x="549"/>
        <item x="491"/>
        <item x="587"/>
        <item x="479"/>
        <item x="597"/>
        <item x="565"/>
        <item x="671"/>
        <item x="536"/>
        <item x="419"/>
        <item x="395"/>
        <item x="329"/>
        <item x="666"/>
        <item x="680"/>
        <item x="628"/>
        <item x="433"/>
        <item x="627"/>
        <item x="365"/>
        <item x="546"/>
        <item x="383"/>
        <item x="665"/>
        <item x="346"/>
        <item x="386"/>
        <item x="443"/>
        <item x="364"/>
        <item x="556"/>
        <item x="350"/>
        <item x="658"/>
        <item x="608"/>
        <item x="370"/>
        <item x="493"/>
        <item x="521"/>
        <item x="486"/>
        <item x="425"/>
        <item x="626"/>
        <item x="369"/>
        <item x="533"/>
        <item x="535"/>
        <item x="452"/>
        <item x="564"/>
        <item x="678"/>
        <item x="428"/>
        <item x="448"/>
        <item x="630"/>
        <item x="515"/>
        <item x="450"/>
        <item x="348"/>
        <item x="415"/>
        <item x="510"/>
        <item x="538"/>
        <item x="367"/>
        <item x="429"/>
        <item x="629"/>
        <item x="382"/>
        <item x="501"/>
        <item x="545"/>
        <item x="437"/>
        <item x="574"/>
        <item x="499"/>
        <item x="543"/>
        <item x="361"/>
        <item x="359"/>
        <item x="595"/>
        <item x="625"/>
        <item x="663"/>
        <item x="527"/>
        <item x="409"/>
        <item x="523"/>
        <item x="387"/>
        <item x="470"/>
        <item x="467"/>
        <item x="652"/>
        <item x="593"/>
        <item x="610"/>
        <item x="547"/>
        <item x="447"/>
        <item x="566"/>
        <item x="562"/>
        <item x="357"/>
        <item x="456"/>
        <item x="500"/>
        <item x="618"/>
        <item x="483"/>
        <item x="560"/>
        <item x="445"/>
        <item x="405"/>
        <item x="573"/>
        <item x="601"/>
        <item x="449"/>
        <item x="407"/>
        <item x="559"/>
        <item x="524"/>
        <item x="528"/>
        <item x="373"/>
        <item x="584"/>
        <item x="606"/>
        <item x="416"/>
        <item x="616"/>
        <item x="639"/>
        <item x="611"/>
        <item x="541"/>
        <item x="615"/>
        <item x="435"/>
        <item x="558"/>
        <item x="469"/>
        <item x="632"/>
        <item x="592"/>
        <item x="408"/>
        <item x="526"/>
        <item x="572"/>
        <item x="472"/>
        <item x="398"/>
        <item x="673"/>
        <item x="478"/>
        <item x="662"/>
        <item x="637"/>
        <item x="569"/>
        <item x="617"/>
        <item x="579"/>
        <item x="397"/>
        <item x="438"/>
        <item x="371"/>
        <item x="436"/>
        <item x="417"/>
        <item x="481"/>
        <item x="525"/>
        <item x="440"/>
        <item x="502"/>
        <item x="427"/>
        <item x="517"/>
        <item x="355"/>
        <item x="651"/>
        <item x="473"/>
        <item x="410"/>
        <item x="403"/>
        <item x="591"/>
        <item x="551"/>
        <item x="638"/>
        <item x="598"/>
        <item x="442"/>
        <item x="607"/>
        <item x="677"/>
        <item x="540"/>
        <item x="550"/>
        <item x="424"/>
        <item x="349"/>
        <item x="581"/>
        <item x="554"/>
        <item x="667"/>
        <item x="414"/>
        <item x="531"/>
        <item x="463"/>
        <item x="520"/>
        <item x="653"/>
        <item x="590"/>
        <item x="399"/>
        <item x="458"/>
        <item x="430"/>
        <item x="679"/>
        <item x="650"/>
        <item x="643"/>
        <item x="619"/>
        <item x="654"/>
        <item x="675"/>
        <item x="474"/>
        <item x="389"/>
        <item x="496"/>
        <item x="462"/>
        <item x="506"/>
        <item x="454"/>
        <item x="668"/>
        <item x="582"/>
        <item x="379"/>
        <item x="529"/>
        <item x="477"/>
        <item x="354"/>
        <item x="475"/>
        <item x="672"/>
        <item x="522"/>
        <item x="421"/>
        <item x="351"/>
        <item x="568"/>
        <item x="495"/>
        <item x="490"/>
        <item x="375"/>
        <item x="644"/>
        <item x="384"/>
        <item x="609"/>
        <item x="374"/>
        <item x="576"/>
        <item x="457"/>
        <item x="498"/>
        <item x="544"/>
        <item x="363"/>
        <item x="413"/>
        <item x="446"/>
        <item x="575"/>
        <item x="508"/>
        <item x="484"/>
        <item x="530"/>
        <item x="585"/>
        <item x="272"/>
        <item x="620"/>
        <item x="400"/>
        <item x="512"/>
        <item x="656"/>
        <item x="360"/>
        <item x="655"/>
        <item x="599"/>
        <item x="465"/>
        <item x="539"/>
        <item x="402"/>
        <item x="534"/>
        <item x="404"/>
        <item x="453"/>
        <item t="default"/>
      </items>
    </pivotField>
    <pivotField showAll="0">
      <items count="37">
        <item x="6"/>
        <item x="11"/>
        <item x="10"/>
        <item x="1"/>
        <item x="4"/>
        <item x="9"/>
        <item x="5"/>
        <item x="2"/>
        <item x="3"/>
        <item x="7"/>
        <item x="0"/>
        <item x="8"/>
        <item m="1" x="13"/>
        <item m="1" x="14"/>
        <item m="1" x="20"/>
        <item m="1" x="23"/>
        <item m="1" x="18"/>
        <item m="1" x="17"/>
        <item m="1" x="21"/>
        <item m="1" x="22"/>
        <item m="1" x="16"/>
        <item m="1" x="12"/>
        <item m="1" x="19"/>
        <item m="1" x="15"/>
        <item m="1" x="34"/>
        <item m="1" x="30"/>
        <item m="1" x="32"/>
        <item m="1" x="31"/>
        <item m="1" x="24"/>
        <item m="1" x="27"/>
        <item m="1" x="26"/>
        <item m="1" x="25"/>
        <item m="1" x="35"/>
        <item m="1" x="29"/>
        <item m="1" x="28"/>
        <item m="1" x="33"/>
        <item t="default"/>
      </items>
    </pivotField>
    <pivotField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>
      <items count="7">
        <item m="1" x="3"/>
        <item m="1" x="4"/>
        <item x="0"/>
        <item x="2"/>
        <item m="1" x="5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Sum of Tot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9DF1C1-3B07-40CB-A8A6-44AD99B42E8C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Transaction ID" tableColumnId="1"/>
      <queryTableField id="2" name="Date" tableColumnId="2"/>
      <queryTableField id="11" dataBound="0" tableColumnId="11"/>
      <queryTableField id="3" name="Year" tableColumnId="3"/>
      <queryTableField id="4" name="Customer ID" tableColumnId="4"/>
      <queryTableField id="5" name="Gender" tableColumnId="5"/>
      <queryTableField id="6" name="Age" tableColumnId="6"/>
      <queryTableField id="7" name="Product Category" tableColumnId="7"/>
      <queryTableField id="8" name="Quantity" tableColumnId="8"/>
      <queryTableField id="9" name="Price per Unit" tableColumnId="9"/>
      <queryTableField id="10" name="Total Amount" tableColumnId="10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04C7A-65DD-495F-9977-BC37AE8C0CBB}" name="RetailStore" displayName="RetailStore" ref="A1:L2001" tableType="queryTable" totalsRowShown="0">
  <autoFilter ref="A1:L2001" xr:uid="{77C04C7A-65DD-495F-9977-BC37AE8C0CBB}"/>
  <sortState xmlns:xlrd2="http://schemas.microsoft.com/office/spreadsheetml/2017/richdata2" ref="A2:L2001">
    <sortCondition ref="E1:E2001"/>
  </sortState>
  <tableColumns count="12">
    <tableColumn id="1" xr3:uid="{2DE59352-F5CF-4C90-AFBF-5E93D981B08A}" uniqueName="1" name="Transaction ID" queryTableFieldId="1"/>
    <tableColumn id="2" xr3:uid="{D438D19B-5A2D-42B9-AF69-466D5A3949EF}" uniqueName="2" name="Date" queryTableFieldId="2" dataDxfId="5"/>
    <tableColumn id="11" xr3:uid="{3400E03F-0AE7-412E-9709-18D812274504}" uniqueName="11" name="Month" queryTableFieldId="11" dataDxfId="4">
      <calculatedColumnFormula>TEXT(RetailStore[[#This Row],[Date]],"mmm")</calculatedColumnFormula>
    </tableColumn>
    <tableColumn id="3" xr3:uid="{B7AABD0F-0833-4ADD-BBED-85766B746FC9}" uniqueName="3" name="Year" queryTableFieldId="3"/>
    <tableColumn id="4" xr3:uid="{3A2BAA7F-B3EB-4FA4-8C70-02E3F6CD90F0}" uniqueName="4" name="Customer ID" queryTableFieldId="4" dataDxfId="3"/>
    <tableColumn id="5" xr3:uid="{5FA9EF0E-3A2E-44BE-8772-DFF5A77AFB4A}" uniqueName="5" name="Gender" queryTableFieldId="5" dataDxfId="2"/>
    <tableColumn id="6" xr3:uid="{ACF21D78-4451-42DF-B491-4EEE97935322}" uniqueName="6" name="Age" queryTableFieldId="6"/>
    <tableColumn id="7" xr3:uid="{C7791389-4BF7-482F-AB73-2825C3A0EF73}" uniqueName="7" name="Product Category" queryTableFieldId="7" dataDxfId="1"/>
    <tableColumn id="8" xr3:uid="{7E864C2A-E4DA-4F09-BD65-1B5CB32B95D6}" uniqueName="8" name="Quantity" queryTableFieldId="8"/>
    <tableColumn id="9" xr3:uid="{60102B39-8D2E-467E-935D-A06494619158}" uniqueName="9" name="Price per Unit" queryTableFieldId="9"/>
    <tableColumn id="10" xr3:uid="{DE4615AF-DE62-4065-BAA3-33BDD9F5B2AE}" uniqueName="10" name="Total Amount" queryTableFieldId="10"/>
    <tableColumn id="12" xr3:uid="{77F85E5A-546E-4CF4-820D-DD0BC7D4DF65}" uniqueName="12" name="Season" queryTableFieldId="12" dataDxfId="0">
      <calculatedColumnFormula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0B6E-D42B-4350-8F29-45A415F70F3A}">
  <dimension ref="A1:P2001"/>
  <sheetViews>
    <sheetView workbookViewId="0">
      <selection activeCell="H13" sqref="H13"/>
    </sheetView>
  </sheetViews>
  <sheetFormatPr defaultRowHeight="14.4" x14ac:dyDescent="0.3"/>
  <cols>
    <col min="1" max="1" width="15.33203125" bestFit="1" customWidth="1"/>
    <col min="2" max="2" width="10.33203125" bestFit="1" customWidth="1"/>
    <col min="3" max="3" width="9" bestFit="1" customWidth="1"/>
    <col min="4" max="4" width="6.88671875" bestFit="1" customWidth="1"/>
    <col min="5" max="5" width="13.5546875" bestFit="1" customWidth="1"/>
    <col min="6" max="6" width="9.33203125" bestFit="1" customWidth="1"/>
    <col min="7" max="7" width="6.44140625" bestFit="1" customWidth="1"/>
    <col min="8" max="8" width="18" bestFit="1" customWidth="1"/>
    <col min="9" max="9" width="10.5546875" bestFit="1" customWidth="1"/>
    <col min="10" max="10" width="14.5546875" bestFit="1" customWidth="1"/>
    <col min="11" max="11" width="14.77734375" bestFit="1" customWidth="1"/>
    <col min="12" max="12" width="15.44140625" bestFit="1" customWidth="1"/>
    <col min="14" max="14" width="11" customWidth="1"/>
    <col min="15" max="15" width="12.44140625" customWidth="1"/>
  </cols>
  <sheetData>
    <row r="1" spans="1:16" x14ac:dyDescent="0.3">
      <c r="A1" t="s">
        <v>0</v>
      </c>
      <c r="B1" t="s">
        <v>1</v>
      </c>
      <c r="C1" t="s">
        <v>2043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2044</v>
      </c>
    </row>
    <row r="2" spans="1:16" x14ac:dyDescent="0.3">
      <c r="A2">
        <v>1</v>
      </c>
      <c r="B2" s="1">
        <v>45254</v>
      </c>
      <c r="C2" s="1" t="str">
        <f>TEXT(RetailStore[[#This Row],[Date]],"mmm")</f>
        <v>Nov</v>
      </c>
      <c r="D2">
        <v>2023</v>
      </c>
      <c r="E2" t="s">
        <v>10</v>
      </c>
      <c r="F2" t="s">
        <v>11</v>
      </c>
      <c r="G2">
        <v>19</v>
      </c>
      <c r="H2" t="s">
        <v>12</v>
      </c>
      <c r="I2">
        <v>3</v>
      </c>
      <c r="J2">
        <v>150</v>
      </c>
      <c r="K2">
        <v>450</v>
      </c>
      <c r="L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" spans="1:16" x14ac:dyDescent="0.3">
      <c r="A3">
        <v>2</v>
      </c>
      <c r="B3" s="1">
        <v>45041</v>
      </c>
      <c r="C3" s="1" t="str">
        <f>TEXT(RetailStore[[#This Row],[Date]],"mmm")</f>
        <v>Apr</v>
      </c>
      <c r="D3">
        <v>2023</v>
      </c>
      <c r="E3" t="s">
        <v>13</v>
      </c>
      <c r="F3" t="s">
        <v>11</v>
      </c>
      <c r="G3">
        <v>24</v>
      </c>
      <c r="H3" t="s">
        <v>12</v>
      </c>
      <c r="I3">
        <v>1</v>
      </c>
      <c r="J3">
        <v>327</v>
      </c>
      <c r="K3">
        <v>327</v>
      </c>
      <c r="L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" spans="1:16" x14ac:dyDescent="0.3">
      <c r="A4">
        <v>3</v>
      </c>
      <c r="B4" s="1">
        <v>45143</v>
      </c>
      <c r="C4" s="1" t="str">
        <f>TEXT(RetailStore[[#This Row],[Date]],"mmm")</f>
        <v>Aug</v>
      </c>
      <c r="D4">
        <v>2023</v>
      </c>
      <c r="E4" t="s">
        <v>14</v>
      </c>
      <c r="F4" t="s">
        <v>11</v>
      </c>
      <c r="G4">
        <v>19</v>
      </c>
      <c r="H4" t="s">
        <v>15</v>
      </c>
      <c r="I4">
        <v>2</v>
      </c>
      <c r="J4">
        <v>144</v>
      </c>
      <c r="K4">
        <v>288</v>
      </c>
      <c r="L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" spans="1:16" x14ac:dyDescent="0.3">
      <c r="A5">
        <v>4</v>
      </c>
      <c r="B5" s="1">
        <v>45185</v>
      </c>
      <c r="C5" s="1" t="str">
        <f>TEXT(RetailStore[[#This Row],[Date]],"mmm")</f>
        <v>Sep</v>
      </c>
      <c r="D5">
        <v>2023</v>
      </c>
      <c r="E5" t="s">
        <v>16</v>
      </c>
      <c r="F5" t="s">
        <v>11</v>
      </c>
      <c r="G5">
        <v>53</v>
      </c>
      <c r="H5" t="s">
        <v>15</v>
      </c>
      <c r="I5">
        <v>4</v>
      </c>
      <c r="J5">
        <v>137</v>
      </c>
      <c r="K5">
        <v>548</v>
      </c>
      <c r="L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" spans="1:16" x14ac:dyDescent="0.3">
      <c r="A6">
        <v>5</v>
      </c>
      <c r="B6" s="1">
        <v>45156</v>
      </c>
      <c r="C6" s="1" t="str">
        <f>TEXT(RetailStore[[#This Row],[Date]],"mmm")</f>
        <v>Aug</v>
      </c>
      <c r="D6">
        <v>2023</v>
      </c>
      <c r="E6" t="s">
        <v>17</v>
      </c>
      <c r="F6" t="s">
        <v>18</v>
      </c>
      <c r="G6">
        <v>18</v>
      </c>
      <c r="H6" t="s">
        <v>15</v>
      </c>
      <c r="I6">
        <v>4</v>
      </c>
      <c r="J6">
        <v>199</v>
      </c>
      <c r="K6">
        <v>796</v>
      </c>
      <c r="L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" spans="1:16" x14ac:dyDescent="0.3">
      <c r="A7">
        <v>6</v>
      </c>
      <c r="B7" s="1">
        <v>45069</v>
      </c>
      <c r="C7" s="1" t="str">
        <f>TEXT(RetailStore[[#This Row],[Date]],"mmm")</f>
        <v>May</v>
      </c>
      <c r="D7">
        <v>2023</v>
      </c>
      <c r="E7" t="s">
        <v>19</v>
      </c>
      <c r="F7" t="s">
        <v>11</v>
      </c>
      <c r="G7">
        <v>31</v>
      </c>
      <c r="H7" t="s">
        <v>20</v>
      </c>
      <c r="I7">
        <v>1</v>
      </c>
      <c r="J7">
        <v>72</v>
      </c>
      <c r="K7">
        <v>72</v>
      </c>
      <c r="L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  <c r="N7" t="s">
        <v>2034</v>
      </c>
      <c r="P7">
        <f>SUM(RetailStore[Total Amount])</f>
        <v>1328872</v>
      </c>
    </row>
    <row r="8" spans="1:16" x14ac:dyDescent="0.3">
      <c r="A8">
        <v>7</v>
      </c>
      <c r="B8" s="1">
        <v>45121</v>
      </c>
      <c r="C8" s="1" t="str">
        <f>TEXT(RetailStore[[#This Row],[Date]],"mmm")</f>
        <v>Jul</v>
      </c>
      <c r="D8">
        <v>2023</v>
      </c>
      <c r="E8" t="s">
        <v>21</v>
      </c>
      <c r="F8" t="s">
        <v>11</v>
      </c>
      <c r="G8">
        <v>40</v>
      </c>
      <c r="H8" t="s">
        <v>20</v>
      </c>
      <c r="I8">
        <v>3</v>
      </c>
      <c r="J8">
        <v>438</v>
      </c>
      <c r="K8">
        <v>1314</v>
      </c>
      <c r="L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  <c r="N8" t="s">
        <v>2035</v>
      </c>
      <c r="O8" t="s">
        <v>12</v>
      </c>
      <c r="P8" s="7">
        <f>AVERAGEIF(RetailStore[Product Category],O8,RetailStore[Total Amount])</f>
        <v>637.09766763848393</v>
      </c>
    </row>
    <row r="9" spans="1:16" x14ac:dyDescent="0.3">
      <c r="A9">
        <v>8</v>
      </c>
      <c r="B9" s="1">
        <v>44949</v>
      </c>
      <c r="C9" s="1" t="str">
        <f>TEXT(RetailStore[[#This Row],[Date]],"mmm")</f>
        <v>Jan</v>
      </c>
      <c r="D9">
        <v>2023</v>
      </c>
      <c r="E9" t="s">
        <v>22</v>
      </c>
      <c r="F9" t="s">
        <v>18</v>
      </c>
      <c r="G9">
        <v>52</v>
      </c>
      <c r="H9" t="s">
        <v>15</v>
      </c>
      <c r="I9">
        <v>4</v>
      </c>
      <c r="J9">
        <v>65</v>
      </c>
      <c r="K9">
        <v>260</v>
      </c>
      <c r="L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  <c r="N9" t="s">
        <v>2036</v>
      </c>
      <c r="O9" t="s">
        <v>15</v>
      </c>
      <c r="P9" s="7">
        <f>AVERAGEIF(RetailStore[Product Category],O9,RetailStore[Total Amount])</f>
        <v>678.09923664122141</v>
      </c>
    </row>
    <row r="10" spans="1:16" x14ac:dyDescent="0.3">
      <c r="A10">
        <v>9</v>
      </c>
      <c r="B10" s="1">
        <v>45209</v>
      </c>
      <c r="C10" s="1" t="str">
        <f>TEXT(RetailStore[[#This Row],[Date]],"mmm")</f>
        <v>Oct</v>
      </c>
      <c r="D10">
        <v>2023</v>
      </c>
      <c r="E10" t="s">
        <v>23</v>
      </c>
      <c r="F10" t="s">
        <v>18</v>
      </c>
      <c r="G10">
        <v>58</v>
      </c>
      <c r="H10" t="s">
        <v>12</v>
      </c>
      <c r="I10">
        <v>3</v>
      </c>
      <c r="J10">
        <v>320</v>
      </c>
      <c r="K10">
        <v>960</v>
      </c>
      <c r="L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  <c r="O10" t="s">
        <v>20</v>
      </c>
      <c r="P10" s="7">
        <f>AVERAGEIF(RetailStore[Product Category],O10,RetailStore[Total Amount])</f>
        <v>679.31411229135051</v>
      </c>
    </row>
    <row r="11" spans="1:16" x14ac:dyDescent="0.3">
      <c r="A11">
        <v>10</v>
      </c>
      <c r="B11" s="1">
        <v>45025</v>
      </c>
      <c r="C11" s="1" t="str">
        <f>TEXT(RetailStore[[#This Row],[Date]],"mmm")</f>
        <v>Apr</v>
      </c>
      <c r="D11">
        <v>2023</v>
      </c>
      <c r="E11" t="s">
        <v>24</v>
      </c>
      <c r="F11" t="s">
        <v>11</v>
      </c>
      <c r="G11">
        <v>20</v>
      </c>
      <c r="H11" t="s">
        <v>12</v>
      </c>
      <c r="I11">
        <v>2</v>
      </c>
      <c r="J11">
        <v>420</v>
      </c>
      <c r="K11">
        <v>840</v>
      </c>
      <c r="L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  <c r="N11" t="s">
        <v>2048</v>
      </c>
      <c r="P11">
        <f>COUNT(A:A)</f>
        <v>2000</v>
      </c>
    </row>
    <row r="12" spans="1:16" x14ac:dyDescent="0.3">
      <c r="A12">
        <v>11</v>
      </c>
      <c r="B12" s="1">
        <v>45075</v>
      </c>
      <c r="C12" s="1" t="str">
        <f>TEXT(RetailStore[[#This Row],[Date]],"mmm")</f>
        <v>May</v>
      </c>
      <c r="D12">
        <v>2023</v>
      </c>
      <c r="E12" t="s">
        <v>25</v>
      </c>
      <c r="F12" t="s">
        <v>11</v>
      </c>
      <c r="G12">
        <v>32</v>
      </c>
      <c r="H12" t="s">
        <v>15</v>
      </c>
      <c r="I12">
        <v>4</v>
      </c>
      <c r="J12">
        <v>167</v>
      </c>
      <c r="K12">
        <v>668</v>
      </c>
      <c r="L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  <c r="N12" t="s">
        <v>2049</v>
      </c>
      <c r="P12" s="8">
        <f>P7/P11</f>
        <v>664.43600000000004</v>
      </c>
    </row>
    <row r="13" spans="1:16" x14ac:dyDescent="0.3">
      <c r="A13">
        <v>12</v>
      </c>
      <c r="B13" s="1">
        <v>45159</v>
      </c>
      <c r="C13" s="1" t="str">
        <f>TEXT(RetailStore[[#This Row],[Date]],"mmm")</f>
        <v>Aug</v>
      </c>
      <c r="D13">
        <v>2023</v>
      </c>
      <c r="E13" t="s">
        <v>26</v>
      </c>
      <c r="F13" t="s">
        <v>18</v>
      </c>
      <c r="G13">
        <v>28</v>
      </c>
      <c r="H13" t="s">
        <v>20</v>
      </c>
      <c r="I13">
        <v>3</v>
      </c>
      <c r="J13">
        <v>132</v>
      </c>
      <c r="K13">
        <v>396</v>
      </c>
      <c r="L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" spans="1:16" x14ac:dyDescent="0.3">
      <c r="A14">
        <v>13</v>
      </c>
      <c r="B14" s="1">
        <v>45270</v>
      </c>
      <c r="C14" s="1" t="str">
        <f>TEXT(RetailStore[[#This Row],[Date]],"mmm")</f>
        <v>Dec</v>
      </c>
      <c r="D14">
        <v>2023</v>
      </c>
      <c r="E14" t="s">
        <v>27</v>
      </c>
      <c r="F14" t="s">
        <v>18</v>
      </c>
      <c r="G14">
        <v>62</v>
      </c>
      <c r="H14" t="s">
        <v>12</v>
      </c>
      <c r="I14">
        <v>1</v>
      </c>
      <c r="J14">
        <v>336</v>
      </c>
      <c r="K14">
        <v>336</v>
      </c>
      <c r="L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" spans="1:16" x14ac:dyDescent="0.3">
      <c r="A15">
        <v>14</v>
      </c>
      <c r="B15" s="1">
        <v>45252</v>
      </c>
      <c r="C15" s="1" t="str">
        <f>TEXT(RetailStore[[#This Row],[Date]],"mmm")</f>
        <v>Nov</v>
      </c>
      <c r="D15">
        <v>2023</v>
      </c>
      <c r="E15" t="s">
        <v>28</v>
      </c>
      <c r="F15" t="s">
        <v>11</v>
      </c>
      <c r="G15">
        <v>52</v>
      </c>
      <c r="H15" t="s">
        <v>12</v>
      </c>
      <c r="I15">
        <v>2</v>
      </c>
      <c r="J15">
        <v>108</v>
      </c>
      <c r="K15">
        <v>216</v>
      </c>
      <c r="L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" spans="1:16" x14ac:dyDescent="0.3">
      <c r="A16">
        <v>15</v>
      </c>
      <c r="B16" s="1">
        <v>45163</v>
      </c>
      <c r="C16" s="1" t="str">
        <f>TEXT(RetailStore[[#This Row],[Date]],"mmm")</f>
        <v>Aug</v>
      </c>
      <c r="D16">
        <v>2023</v>
      </c>
      <c r="E16" t="s">
        <v>29</v>
      </c>
      <c r="F16" t="s">
        <v>18</v>
      </c>
      <c r="G16">
        <v>35</v>
      </c>
      <c r="H16" t="s">
        <v>12</v>
      </c>
      <c r="I16">
        <v>2</v>
      </c>
      <c r="J16">
        <v>375</v>
      </c>
      <c r="K16">
        <v>750</v>
      </c>
      <c r="L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" spans="1:12" x14ac:dyDescent="0.3">
      <c r="A17">
        <v>16</v>
      </c>
      <c r="B17" s="1">
        <v>45093</v>
      </c>
      <c r="C17" s="1" t="str">
        <f>TEXT(RetailStore[[#This Row],[Date]],"mmm")</f>
        <v>Jun</v>
      </c>
      <c r="D17">
        <v>2023</v>
      </c>
      <c r="E17" t="s">
        <v>30</v>
      </c>
      <c r="F17" t="s">
        <v>11</v>
      </c>
      <c r="G17">
        <v>32</v>
      </c>
      <c r="H17" t="s">
        <v>15</v>
      </c>
      <c r="I17">
        <v>3</v>
      </c>
      <c r="J17">
        <v>230</v>
      </c>
      <c r="K17">
        <v>690</v>
      </c>
      <c r="L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" spans="1:12" x14ac:dyDescent="0.3">
      <c r="A18">
        <v>17</v>
      </c>
      <c r="B18" s="1">
        <v>45064</v>
      </c>
      <c r="C18" s="1" t="str">
        <f>TEXT(RetailStore[[#This Row],[Date]],"mmm")</f>
        <v>May</v>
      </c>
      <c r="D18">
        <v>2023</v>
      </c>
      <c r="E18" t="s">
        <v>31</v>
      </c>
      <c r="F18" t="s">
        <v>11</v>
      </c>
      <c r="G18">
        <v>31</v>
      </c>
      <c r="H18" t="s">
        <v>12</v>
      </c>
      <c r="I18">
        <v>3</v>
      </c>
      <c r="J18">
        <v>133</v>
      </c>
      <c r="K18">
        <v>399</v>
      </c>
      <c r="L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" spans="1:12" x14ac:dyDescent="0.3">
      <c r="A19">
        <v>18</v>
      </c>
      <c r="B19" s="1">
        <v>45262</v>
      </c>
      <c r="C19" s="1" t="str">
        <f>TEXT(RetailStore[[#This Row],[Date]],"mmm")</f>
        <v>Dec</v>
      </c>
      <c r="D19">
        <v>2023</v>
      </c>
      <c r="E19" t="s">
        <v>32</v>
      </c>
      <c r="F19" t="s">
        <v>18</v>
      </c>
      <c r="G19">
        <v>43</v>
      </c>
      <c r="H19" t="s">
        <v>12</v>
      </c>
      <c r="I19">
        <v>4</v>
      </c>
      <c r="J19">
        <v>98</v>
      </c>
      <c r="K19">
        <v>392</v>
      </c>
      <c r="L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0" spans="1:12" x14ac:dyDescent="0.3">
      <c r="A20">
        <v>19</v>
      </c>
      <c r="B20" s="1">
        <v>45062</v>
      </c>
      <c r="C20" s="1" t="str">
        <f>TEXT(RetailStore[[#This Row],[Date]],"mmm")</f>
        <v>May</v>
      </c>
      <c r="D20">
        <v>2023</v>
      </c>
      <c r="E20" t="s">
        <v>33</v>
      </c>
      <c r="F20" t="s">
        <v>11</v>
      </c>
      <c r="G20">
        <v>33</v>
      </c>
      <c r="H20" t="s">
        <v>12</v>
      </c>
      <c r="I20">
        <v>3</v>
      </c>
      <c r="J20">
        <v>407</v>
      </c>
      <c r="K20">
        <v>1221</v>
      </c>
      <c r="L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1" spans="1:12" x14ac:dyDescent="0.3">
      <c r="A21">
        <v>20</v>
      </c>
      <c r="B21" s="1">
        <v>45226</v>
      </c>
      <c r="C21" s="1" t="str">
        <f>TEXT(RetailStore[[#This Row],[Date]],"mmm")</f>
        <v>Oct</v>
      </c>
      <c r="D21">
        <v>2023</v>
      </c>
      <c r="E21" t="s">
        <v>34</v>
      </c>
      <c r="F21" t="s">
        <v>18</v>
      </c>
      <c r="G21">
        <v>55</v>
      </c>
      <c r="H21" t="s">
        <v>20</v>
      </c>
      <c r="I21">
        <v>3</v>
      </c>
      <c r="J21">
        <v>137</v>
      </c>
      <c r="K21">
        <v>411</v>
      </c>
      <c r="L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2" spans="1:12" x14ac:dyDescent="0.3">
      <c r="A22">
        <v>21</v>
      </c>
      <c r="B22" s="1">
        <v>44997</v>
      </c>
      <c r="C22" s="1" t="str">
        <f>TEXT(RetailStore[[#This Row],[Date]],"mmm")</f>
        <v>Mar</v>
      </c>
      <c r="D22">
        <v>2023</v>
      </c>
      <c r="E22" t="s">
        <v>35</v>
      </c>
      <c r="F22" t="s">
        <v>18</v>
      </c>
      <c r="G22">
        <v>23</v>
      </c>
      <c r="H22" t="s">
        <v>15</v>
      </c>
      <c r="I22">
        <v>1</v>
      </c>
      <c r="J22">
        <v>103</v>
      </c>
      <c r="K22">
        <v>103</v>
      </c>
      <c r="L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3" spans="1:12" x14ac:dyDescent="0.3">
      <c r="A23">
        <v>22</v>
      </c>
      <c r="B23" s="1">
        <v>45248</v>
      </c>
      <c r="C23" s="1" t="str">
        <f>TEXT(RetailStore[[#This Row],[Date]],"mmm")</f>
        <v>Nov</v>
      </c>
      <c r="D23">
        <v>2023</v>
      </c>
      <c r="E23" t="s">
        <v>36</v>
      </c>
      <c r="F23" t="s">
        <v>11</v>
      </c>
      <c r="G23">
        <v>61</v>
      </c>
      <c r="H23" t="s">
        <v>20</v>
      </c>
      <c r="I23">
        <v>1</v>
      </c>
      <c r="J23">
        <v>222</v>
      </c>
      <c r="K23">
        <v>222</v>
      </c>
      <c r="L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4" spans="1:12" x14ac:dyDescent="0.3">
      <c r="A24">
        <v>23</v>
      </c>
      <c r="B24" s="1">
        <v>45122</v>
      </c>
      <c r="C24" s="1" t="str">
        <f>TEXT(RetailStore[[#This Row],[Date]],"mmm")</f>
        <v>Jul</v>
      </c>
      <c r="D24">
        <v>2023</v>
      </c>
      <c r="E24" t="s">
        <v>37</v>
      </c>
      <c r="F24" t="s">
        <v>18</v>
      </c>
      <c r="G24">
        <v>51</v>
      </c>
      <c r="H24" t="s">
        <v>20</v>
      </c>
      <c r="I24">
        <v>1</v>
      </c>
      <c r="J24">
        <v>373</v>
      </c>
      <c r="K24">
        <v>373</v>
      </c>
      <c r="L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5" spans="1:12" x14ac:dyDescent="0.3">
      <c r="A25">
        <v>24</v>
      </c>
      <c r="B25" s="1">
        <v>44985</v>
      </c>
      <c r="C25" s="1" t="str">
        <f>TEXT(RetailStore[[#This Row],[Date]],"mmm")</f>
        <v>Feb</v>
      </c>
      <c r="D25">
        <v>2023</v>
      </c>
      <c r="E25" t="s">
        <v>38</v>
      </c>
      <c r="F25" t="s">
        <v>18</v>
      </c>
      <c r="G25">
        <v>59</v>
      </c>
      <c r="H25" t="s">
        <v>20</v>
      </c>
      <c r="I25">
        <v>1</v>
      </c>
      <c r="J25">
        <v>175</v>
      </c>
      <c r="K25">
        <v>175</v>
      </c>
      <c r="L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6" spans="1:12" x14ac:dyDescent="0.3">
      <c r="A26">
        <v>25</v>
      </c>
      <c r="B26" s="1">
        <v>45149</v>
      </c>
      <c r="C26" s="1" t="str">
        <f>TEXT(RetailStore[[#This Row],[Date]],"mmm")</f>
        <v>Aug</v>
      </c>
      <c r="D26">
        <v>2023</v>
      </c>
      <c r="E26" t="s">
        <v>39</v>
      </c>
      <c r="F26" t="s">
        <v>11</v>
      </c>
      <c r="G26">
        <v>47</v>
      </c>
      <c r="H26" t="s">
        <v>15</v>
      </c>
      <c r="I26">
        <v>3</v>
      </c>
      <c r="J26">
        <v>281</v>
      </c>
      <c r="K26">
        <v>843</v>
      </c>
      <c r="L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7" spans="1:12" x14ac:dyDescent="0.3">
      <c r="A27">
        <v>26</v>
      </c>
      <c r="B27" s="1">
        <v>45018</v>
      </c>
      <c r="C27" s="1" t="str">
        <f>TEXT(RetailStore[[#This Row],[Date]],"mmm")</f>
        <v>Apr</v>
      </c>
      <c r="D27">
        <v>2023</v>
      </c>
      <c r="E27" t="s">
        <v>40</v>
      </c>
      <c r="F27" t="s">
        <v>11</v>
      </c>
      <c r="G27">
        <v>58</v>
      </c>
      <c r="H27" t="s">
        <v>20</v>
      </c>
      <c r="I27">
        <v>2</v>
      </c>
      <c r="J27">
        <v>103</v>
      </c>
      <c r="K27">
        <v>206</v>
      </c>
      <c r="L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8" spans="1:12" x14ac:dyDescent="0.3">
      <c r="A28">
        <v>27</v>
      </c>
      <c r="B28" s="1">
        <v>45118</v>
      </c>
      <c r="C28" s="1" t="str">
        <f>TEXT(RetailStore[[#This Row],[Date]],"mmm")</f>
        <v>Jul</v>
      </c>
      <c r="D28">
        <v>2023</v>
      </c>
      <c r="E28" t="s">
        <v>41</v>
      </c>
      <c r="F28" t="s">
        <v>11</v>
      </c>
      <c r="G28">
        <v>52</v>
      </c>
      <c r="H28" t="s">
        <v>12</v>
      </c>
      <c r="I28">
        <v>1</v>
      </c>
      <c r="J28">
        <v>331</v>
      </c>
      <c r="K28">
        <v>331</v>
      </c>
      <c r="L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" spans="1:12" x14ac:dyDescent="0.3">
      <c r="A29">
        <v>28</v>
      </c>
      <c r="B29" s="1">
        <v>45092</v>
      </c>
      <c r="C29" s="1" t="str">
        <f>TEXT(RetailStore[[#This Row],[Date]],"mmm")</f>
        <v>Jun</v>
      </c>
      <c r="D29">
        <v>2023</v>
      </c>
      <c r="E29" t="s">
        <v>42</v>
      </c>
      <c r="F29" t="s">
        <v>18</v>
      </c>
      <c r="G29">
        <v>19</v>
      </c>
      <c r="H29" t="s">
        <v>15</v>
      </c>
      <c r="I29">
        <v>3</v>
      </c>
      <c r="J29">
        <v>474</v>
      </c>
      <c r="K29">
        <v>1422</v>
      </c>
      <c r="L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0" spans="1:12" x14ac:dyDescent="0.3">
      <c r="A30">
        <v>29</v>
      </c>
      <c r="B30" s="1">
        <v>45084</v>
      </c>
      <c r="C30" s="1" t="str">
        <f>TEXT(RetailStore[[#This Row],[Date]],"mmm")</f>
        <v>Jun</v>
      </c>
      <c r="D30">
        <v>2023</v>
      </c>
      <c r="E30" t="s">
        <v>43</v>
      </c>
      <c r="F30" t="s">
        <v>11</v>
      </c>
      <c r="G30">
        <v>21</v>
      </c>
      <c r="H30" t="s">
        <v>15</v>
      </c>
      <c r="I30">
        <v>1</v>
      </c>
      <c r="J30">
        <v>68</v>
      </c>
      <c r="K30">
        <v>68</v>
      </c>
      <c r="L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1" spans="1:12" x14ac:dyDescent="0.3">
      <c r="A31">
        <v>30</v>
      </c>
      <c r="B31" s="1">
        <v>45175</v>
      </c>
      <c r="C31" s="1" t="str">
        <f>TEXT(RetailStore[[#This Row],[Date]],"mmm")</f>
        <v>Sep</v>
      </c>
      <c r="D31">
        <v>2023</v>
      </c>
      <c r="E31" t="s">
        <v>44</v>
      </c>
      <c r="F31" t="s">
        <v>11</v>
      </c>
      <c r="G31">
        <v>52</v>
      </c>
      <c r="H31" t="s">
        <v>15</v>
      </c>
      <c r="I31">
        <v>2</v>
      </c>
      <c r="J31">
        <v>362</v>
      </c>
      <c r="K31">
        <v>724</v>
      </c>
      <c r="L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2" spans="1:12" x14ac:dyDescent="0.3">
      <c r="A32">
        <v>31</v>
      </c>
      <c r="B32" s="1">
        <v>45170</v>
      </c>
      <c r="C32" s="1" t="str">
        <f>TEXT(RetailStore[[#This Row],[Date]],"mmm")</f>
        <v>Sep</v>
      </c>
      <c r="D32">
        <v>2023</v>
      </c>
      <c r="E32" t="s">
        <v>45</v>
      </c>
      <c r="F32" t="s">
        <v>11</v>
      </c>
      <c r="G32">
        <v>34</v>
      </c>
      <c r="H32" t="s">
        <v>12</v>
      </c>
      <c r="I32">
        <v>4</v>
      </c>
      <c r="J32">
        <v>133</v>
      </c>
      <c r="K32">
        <v>532</v>
      </c>
      <c r="L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3" spans="1:12" x14ac:dyDescent="0.3">
      <c r="A33">
        <v>32</v>
      </c>
      <c r="B33" s="1">
        <v>45203</v>
      </c>
      <c r="C33" s="1" t="str">
        <f>TEXT(RetailStore[[#This Row],[Date]],"mmm")</f>
        <v>Oct</v>
      </c>
      <c r="D33">
        <v>2023</v>
      </c>
      <c r="E33" t="s">
        <v>46</v>
      </c>
      <c r="F33" t="s">
        <v>11</v>
      </c>
      <c r="G33">
        <v>63</v>
      </c>
      <c r="H33" t="s">
        <v>20</v>
      </c>
      <c r="I33">
        <v>4</v>
      </c>
      <c r="J33">
        <v>368</v>
      </c>
      <c r="K33">
        <v>1472</v>
      </c>
      <c r="L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" spans="1:12" x14ac:dyDescent="0.3">
      <c r="A34">
        <v>33</v>
      </c>
      <c r="B34" s="1">
        <v>45259</v>
      </c>
      <c r="C34" s="1" t="str">
        <f>TEXT(RetailStore[[#This Row],[Date]],"mmm")</f>
        <v>Nov</v>
      </c>
      <c r="D34">
        <v>2023</v>
      </c>
      <c r="E34" t="s">
        <v>47</v>
      </c>
      <c r="F34" t="s">
        <v>18</v>
      </c>
      <c r="G34">
        <v>46</v>
      </c>
      <c r="H34" t="s">
        <v>12</v>
      </c>
      <c r="I34">
        <v>4</v>
      </c>
      <c r="J34">
        <v>86</v>
      </c>
      <c r="K34">
        <v>344</v>
      </c>
      <c r="L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5" spans="1:12" x14ac:dyDescent="0.3">
      <c r="A35">
        <v>34</v>
      </c>
      <c r="B35" s="1">
        <v>45053</v>
      </c>
      <c r="C35" s="1" t="str">
        <f>TEXT(RetailStore[[#This Row],[Date]],"mmm")</f>
        <v>May</v>
      </c>
      <c r="D35">
        <v>2023</v>
      </c>
      <c r="E35" t="s">
        <v>48</v>
      </c>
      <c r="F35" t="s">
        <v>11</v>
      </c>
      <c r="G35">
        <v>22</v>
      </c>
      <c r="H35" t="s">
        <v>20</v>
      </c>
      <c r="I35">
        <v>1</v>
      </c>
      <c r="J35">
        <v>326</v>
      </c>
      <c r="K35">
        <v>326</v>
      </c>
      <c r="L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6" spans="1:12" x14ac:dyDescent="0.3">
      <c r="A36">
        <v>35</v>
      </c>
      <c r="B36" s="1">
        <v>45210</v>
      </c>
      <c r="C36" s="1" t="str">
        <f>TEXT(RetailStore[[#This Row],[Date]],"mmm")</f>
        <v>Oct</v>
      </c>
      <c r="D36">
        <v>2023</v>
      </c>
      <c r="E36" t="s">
        <v>49</v>
      </c>
      <c r="F36" t="s">
        <v>11</v>
      </c>
      <c r="G36">
        <v>55</v>
      </c>
      <c r="H36" t="s">
        <v>15</v>
      </c>
      <c r="I36">
        <v>1</v>
      </c>
      <c r="J36">
        <v>61</v>
      </c>
      <c r="K36">
        <v>61</v>
      </c>
      <c r="L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7" spans="1:12" x14ac:dyDescent="0.3">
      <c r="A37">
        <v>36</v>
      </c>
      <c r="B37" s="1">
        <v>45289</v>
      </c>
      <c r="C37" s="1" t="str">
        <f>TEXT(RetailStore[[#This Row],[Date]],"mmm")</f>
        <v>Dec</v>
      </c>
      <c r="D37">
        <v>2023</v>
      </c>
      <c r="E37" t="s">
        <v>50</v>
      </c>
      <c r="F37" t="s">
        <v>11</v>
      </c>
      <c r="G37">
        <v>32</v>
      </c>
      <c r="H37" t="s">
        <v>15</v>
      </c>
      <c r="I37">
        <v>1</v>
      </c>
      <c r="J37">
        <v>465</v>
      </c>
      <c r="K37">
        <v>465</v>
      </c>
      <c r="L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8" spans="1:12" x14ac:dyDescent="0.3">
      <c r="A38">
        <v>37</v>
      </c>
      <c r="B38" s="1">
        <v>45096</v>
      </c>
      <c r="C38" s="1" t="str">
        <f>TEXT(RetailStore[[#This Row],[Date]],"mmm")</f>
        <v>Jun</v>
      </c>
      <c r="D38">
        <v>2023</v>
      </c>
      <c r="E38" t="s">
        <v>51</v>
      </c>
      <c r="F38" t="s">
        <v>11</v>
      </c>
      <c r="G38">
        <v>50</v>
      </c>
      <c r="H38" t="s">
        <v>15</v>
      </c>
      <c r="I38">
        <v>3</v>
      </c>
      <c r="J38">
        <v>367</v>
      </c>
      <c r="K38">
        <v>1101</v>
      </c>
      <c r="L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9" spans="1:12" x14ac:dyDescent="0.3">
      <c r="A39">
        <v>38</v>
      </c>
      <c r="B39" s="1">
        <v>45175</v>
      </c>
      <c r="C39" s="1" t="str">
        <f>TEXT(RetailStore[[#This Row],[Date]],"mmm")</f>
        <v>Sep</v>
      </c>
      <c r="D39">
        <v>2023</v>
      </c>
      <c r="E39" t="s">
        <v>52</v>
      </c>
      <c r="F39" t="s">
        <v>11</v>
      </c>
      <c r="G39">
        <v>52</v>
      </c>
      <c r="H39" t="s">
        <v>15</v>
      </c>
      <c r="I39">
        <v>4</v>
      </c>
      <c r="J39">
        <v>149</v>
      </c>
      <c r="K39">
        <v>596</v>
      </c>
      <c r="L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0" spans="1:12" x14ac:dyDescent="0.3">
      <c r="A40">
        <v>39</v>
      </c>
      <c r="B40" s="1">
        <v>45169</v>
      </c>
      <c r="C40" s="1" t="str">
        <f>TEXT(RetailStore[[#This Row],[Date]],"mmm")</f>
        <v>Aug</v>
      </c>
      <c r="D40">
        <v>2023</v>
      </c>
      <c r="E40" t="s">
        <v>53</v>
      </c>
      <c r="F40" t="s">
        <v>18</v>
      </c>
      <c r="G40">
        <v>30</v>
      </c>
      <c r="H40" t="s">
        <v>15</v>
      </c>
      <c r="I40">
        <v>1</v>
      </c>
      <c r="J40">
        <v>362</v>
      </c>
      <c r="K40">
        <v>362</v>
      </c>
      <c r="L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1" spans="1:12" x14ac:dyDescent="0.3">
      <c r="A41">
        <v>40</v>
      </c>
      <c r="B41" s="1">
        <v>45147</v>
      </c>
      <c r="C41" s="1" t="str">
        <f>TEXT(RetailStore[[#This Row],[Date]],"mmm")</f>
        <v>Aug</v>
      </c>
      <c r="D41">
        <v>2023</v>
      </c>
      <c r="E41" t="s">
        <v>54</v>
      </c>
      <c r="F41" t="s">
        <v>18</v>
      </c>
      <c r="G41">
        <v>45</v>
      </c>
      <c r="H41" t="s">
        <v>20</v>
      </c>
      <c r="I41">
        <v>4</v>
      </c>
      <c r="J41">
        <v>467</v>
      </c>
      <c r="K41">
        <v>1868</v>
      </c>
      <c r="L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2" spans="1:12" x14ac:dyDescent="0.3">
      <c r="A42">
        <v>41</v>
      </c>
      <c r="B42" s="1">
        <v>44954</v>
      </c>
      <c r="C42" s="1" t="str">
        <f>TEXT(RetailStore[[#This Row],[Date]],"mmm")</f>
        <v>Jan</v>
      </c>
      <c r="D42">
        <v>2023</v>
      </c>
      <c r="E42" t="s">
        <v>55</v>
      </c>
      <c r="F42" t="s">
        <v>11</v>
      </c>
      <c r="G42">
        <v>21</v>
      </c>
      <c r="H42" t="s">
        <v>20</v>
      </c>
      <c r="I42">
        <v>3</v>
      </c>
      <c r="J42">
        <v>434</v>
      </c>
      <c r="K42">
        <v>1302</v>
      </c>
      <c r="L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3" spans="1:12" x14ac:dyDescent="0.3">
      <c r="A43">
        <v>42</v>
      </c>
      <c r="B43" s="1">
        <v>44982</v>
      </c>
      <c r="C43" s="1" t="str">
        <f>TEXT(RetailStore[[#This Row],[Date]],"mmm")</f>
        <v>Feb</v>
      </c>
      <c r="D43">
        <v>2023</v>
      </c>
      <c r="E43" t="s">
        <v>56</v>
      </c>
      <c r="F43" t="s">
        <v>11</v>
      </c>
      <c r="G43">
        <v>30</v>
      </c>
      <c r="H43" t="s">
        <v>15</v>
      </c>
      <c r="I43">
        <v>4</v>
      </c>
      <c r="J43">
        <v>96</v>
      </c>
      <c r="K43">
        <v>384</v>
      </c>
      <c r="L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4" spans="1:12" x14ac:dyDescent="0.3">
      <c r="A44">
        <v>43</v>
      </c>
      <c r="B44" s="1">
        <v>45143</v>
      </c>
      <c r="C44" s="1" t="str">
        <f>TEXT(RetailStore[[#This Row],[Date]],"mmm")</f>
        <v>Aug</v>
      </c>
      <c r="D44">
        <v>2023</v>
      </c>
      <c r="E44" t="s">
        <v>57</v>
      </c>
      <c r="F44" t="s">
        <v>11</v>
      </c>
      <c r="G44">
        <v>35</v>
      </c>
      <c r="H44" t="s">
        <v>20</v>
      </c>
      <c r="I44">
        <v>2</v>
      </c>
      <c r="J44">
        <v>472</v>
      </c>
      <c r="K44">
        <v>944</v>
      </c>
      <c r="L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5" spans="1:12" x14ac:dyDescent="0.3">
      <c r="A45">
        <v>44</v>
      </c>
      <c r="B45" s="1">
        <v>44965</v>
      </c>
      <c r="C45" s="1" t="str">
        <f>TEXT(RetailStore[[#This Row],[Date]],"mmm")</f>
        <v>Feb</v>
      </c>
      <c r="D45">
        <v>2023</v>
      </c>
      <c r="E45" t="s">
        <v>58</v>
      </c>
      <c r="F45" t="s">
        <v>18</v>
      </c>
      <c r="G45">
        <v>53</v>
      </c>
      <c r="H45" t="s">
        <v>15</v>
      </c>
      <c r="I45">
        <v>1</v>
      </c>
      <c r="J45">
        <v>358</v>
      </c>
      <c r="K45">
        <v>358</v>
      </c>
      <c r="L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6" spans="1:12" x14ac:dyDescent="0.3">
      <c r="A46">
        <v>45</v>
      </c>
      <c r="B46" s="1">
        <v>45203</v>
      </c>
      <c r="C46" s="1" t="str">
        <f>TEXT(RetailStore[[#This Row],[Date]],"mmm")</f>
        <v>Oct</v>
      </c>
      <c r="D46">
        <v>2023</v>
      </c>
      <c r="E46" t="s">
        <v>59</v>
      </c>
      <c r="F46" t="s">
        <v>11</v>
      </c>
      <c r="G46">
        <v>23</v>
      </c>
      <c r="H46" t="s">
        <v>15</v>
      </c>
      <c r="I46">
        <v>2</v>
      </c>
      <c r="J46">
        <v>233</v>
      </c>
      <c r="K46">
        <v>466</v>
      </c>
      <c r="L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7" spans="1:12" x14ac:dyDescent="0.3">
      <c r="A47">
        <v>46</v>
      </c>
      <c r="B47" s="1">
        <v>45175</v>
      </c>
      <c r="C47" s="1" t="str">
        <f>TEXT(RetailStore[[#This Row],[Date]],"mmm")</f>
        <v>Sep</v>
      </c>
      <c r="D47">
        <v>2023</v>
      </c>
      <c r="E47" t="s">
        <v>60</v>
      </c>
      <c r="F47" t="s">
        <v>18</v>
      </c>
      <c r="G47">
        <v>31</v>
      </c>
      <c r="H47" t="s">
        <v>20</v>
      </c>
      <c r="I47">
        <v>1</v>
      </c>
      <c r="J47">
        <v>109</v>
      </c>
      <c r="K47">
        <v>109</v>
      </c>
      <c r="L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8" spans="1:12" x14ac:dyDescent="0.3">
      <c r="A48">
        <v>47</v>
      </c>
      <c r="B48" s="1">
        <v>45121</v>
      </c>
      <c r="C48" s="1" t="str">
        <f>TEXT(RetailStore[[#This Row],[Date]],"mmm")</f>
        <v>Jul</v>
      </c>
      <c r="D48">
        <v>2023</v>
      </c>
      <c r="E48" t="s">
        <v>61</v>
      </c>
      <c r="F48" t="s">
        <v>11</v>
      </c>
      <c r="G48">
        <v>42</v>
      </c>
      <c r="H48" t="s">
        <v>20</v>
      </c>
      <c r="I48">
        <v>4</v>
      </c>
      <c r="J48">
        <v>171</v>
      </c>
      <c r="K48">
        <v>684</v>
      </c>
      <c r="L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9" spans="1:12" x14ac:dyDescent="0.3">
      <c r="A49">
        <v>48</v>
      </c>
      <c r="B49" s="1">
        <v>45143</v>
      </c>
      <c r="C49" s="1" t="str">
        <f>TEXT(RetailStore[[#This Row],[Date]],"mmm")</f>
        <v>Aug</v>
      </c>
      <c r="D49">
        <v>2023</v>
      </c>
      <c r="E49" t="s">
        <v>62</v>
      </c>
      <c r="F49" t="s">
        <v>18</v>
      </c>
      <c r="G49">
        <v>27</v>
      </c>
      <c r="H49" t="s">
        <v>15</v>
      </c>
      <c r="I49">
        <v>3</v>
      </c>
      <c r="J49">
        <v>136</v>
      </c>
      <c r="K49">
        <v>408</v>
      </c>
      <c r="L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0" spans="1:12" x14ac:dyDescent="0.3">
      <c r="A50">
        <v>49</v>
      </c>
      <c r="B50" s="1">
        <v>44956</v>
      </c>
      <c r="C50" s="1" t="str">
        <f>TEXT(RetailStore[[#This Row],[Date]],"mmm")</f>
        <v>Jan</v>
      </c>
      <c r="D50">
        <v>2023</v>
      </c>
      <c r="E50" t="s">
        <v>63</v>
      </c>
      <c r="F50" t="s">
        <v>11</v>
      </c>
      <c r="G50">
        <v>38</v>
      </c>
      <c r="H50" t="s">
        <v>15</v>
      </c>
      <c r="I50">
        <v>1</v>
      </c>
      <c r="J50">
        <v>324</v>
      </c>
      <c r="K50">
        <v>324</v>
      </c>
      <c r="L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1" spans="1:12" x14ac:dyDescent="0.3">
      <c r="A51">
        <v>50</v>
      </c>
      <c r="B51" s="1">
        <v>45171</v>
      </c>
      <c r="C51" s="1" t="str">
        <f>TEXT(RetailStore[[#This Row],[Date]],"mmm")</f>
        <v>Sep</v>
      </c>
      <c r="D51">
        <v>2023</v>
      </c>
      <c r="E51" t="s">
        <v>64</v>
      </c>
      <c r="F51" t="s">
        <v>11</v>
      </c>
      <c r="G51">
        <v>21</v>
      </c>
      <c r="H51" t="s">
        <v>12</v>
      </c>
      <c r="I51">
        <v>1</v>
      </c>
      <c r="J51">
        <v>460</v>
      </c>
      <c r="K51">
        <v>460</v>
      </c>
      <c r="L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2" spans="1:12" x14ac:dyDescent="0.3">
      <c r="A52">
        <v>51</v>
      </c>
      <c r="B52" s="1">
        <v>45022</v>
      </c>
      <c r="C52" s="1" t="str">
        <f>TEXT(RetailStore[[#This Row],[Date]],"mmm")</f>
        <v>Apr</v>
      </c>
      <c r="D52">
        <v>2023</v>
      </c>
      <c r="E52" t="s">
        <v>65</v>
      </c>
      <c r="F52" t="s">
        <v>11</v>
      </c>
      <c r="G52">
        <v>56</v>
      </c>
      <c r="H52" t="s">
        <v>15</v>
      </c>
      <c r="I52">
        <v>2</v>
      </c>
      <c r="J52">
        <v>231</v>
      </c>
      <c r="K52">
        <v>462</v>
      </c>
      <c r="L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3" spans="1:12" x14ac:dyDescent="0.3">
      <c r="A53">
        <v>52</v>
      </c>
      <c r="B53" s="1">
        <v>44988</v>
      </c>
      <c r="C53" s="1" t="str">
        <f>TEXT(RetailStore[[#This Row],[Date]],"mmm")</f>
        <v>Mar</v>
      </c>
      <c r="D53">
        <v>2023</v>
      </c>
      <c r="E53" t="s">
        <v>66</v>
      </c>
      <c r="F53" t="s">
        <v>11</v>
      </c>
      <c r="G53">
        <v>55</v>
      </c>
      <c r="H53" t="s">
        <v>12</v>
      </c>
      <c r="I53">
        <v>1</v>
      </c>
      <c r="J53">
        <v>342</v>
      </c>
      <c r="K53">
        <v>342</v>
      </c>
      <c r="L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4" spans="1:12" x14ac:dyDescent="0.3">
      <c r="A54">
        <v>53</v>
      </c>
      <c r="B54" s="1">
        <v>44968</v>
      </c>
      <c r="C54" s="1" t="str">
        <f>TEXT(RetailStore[[#This Row],[Date]],"mmm")</f>
        <v>Feb</v>
      </c>
      <c r="D54">
        <v>2023</v>
      </c>
      <c r="E54" t="s">
        <v>67</v>
      </c>
      <c r="F54" t="s">
        <v>18</v>
      </c>
      <c r="G54">
        <v>60</v>
      </c>
      <c r="H54" t="s">
        <v>12</v>
      </c>
      <c r="I54">
        <v>3</v>
      </c>
      <c r="J54">
        <v>158</v>
      </c>
      <c r="K54">
        <v>474</v>
      </c>
      <c r="L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5" spans="1:12" x14ac:dyDescent="0.3">
      <c r="A55">
        <v>54</v>
      </c>
      <c r="B55" s="1">
        <v>45031</v>
      </c>
      <c r="C55" s="1" t="str">
        <f>TEXT(RetailStore[[#This Row],[Date]],"mmm")</f>
        <v>Apr</v>
      </c>
      <c r="D55">
        <v>2023</v>
      </c>
      <c r="E55" t="s">
        <v>68</v>
      </c>
      <c r="F55" t="s">
        <v>18</v>
      </c>
      <c r="G55">
        <v>33</v>
      </c>
      <c r="H55" t="s">
        <v>20</v>
      </c>
      <c r="I55">
        <v>4</v>
      </c>
      <c r="J55">
        <v>92</v>
      </c>
      <c r="K55">
        <v>368</v>
      </c>
      <c r="L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" spans="1:12" x14ac:dyDescent="0.3">
      <c r="A56">
        <v>55</v>
      </c>
      <c r="B56" s="1">
        <v>45270</v>
      </c>
      <c r="C56" s="1" t="str">
        <f>TEXT(RetailStore[[#This Row],[Date]],"mmm")</f>
        <v>Dec</v>
      </c>
      <c r="D56">
        <v>2023</v>
      </c>
      <c r="E56" t="s">
        <v>69</v>
      </c>
      <c r="F56" t="s">
        <v>18</v>
      </c>
      <c r="G56">
        <v>47</v>
      </c>
      <c r="H56" t="s">
        <v>20</v>
      </c>
      <c r="I56">
        <v>1</v>
      </c>
      <c r="J56">
        <v>29</v>
      </c>
      <c r="K56">
        <v>29</v>
      </c>
      <c r="L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" spans="1:12" x14ac:dyDescent="0.3">
      <c r="A57">
        <v>56</v>
      </c>
      <c r="B57" s="1">
        <v>45161</v>
      </c>
      <c r="C57" s="1" t="str">
        <f>TEXT(RetailStore[[#This Row],[Date]],"mmm")</f>
        <v>Aug</v>
      </c>
      <c r="D57">
        <v>2023</v>
      </c>
      <c r="E57" t="s">
        <v>70</v>
      </c>
      <c r="F57" t="s">
        <v>11</v>
      </c>
      <c r="G57">
        <v>22</v>
      </c>
      <c r="H57" t="s">
        <v>12</v>
      </c>
      <c r="I57">
        <v>2</v>
      </c>
      <c r="J57">
        <v>284</v>
      </c>
      <c r="K57">
        <v>568</v>
      </c>
      <c r="L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8" spans="1:12" x14ac:dyDescent="0.3">
      <c r="A58">
        <v>57</v>
      </c>
      <c r="B58" s="1">
        <v>45062</v>
      </c>
      <c r="C58" s="1" t="str">
        <f>TEXT(RetailStore[[#This Row],[Date]],"mmm")</f>
        <v>May</v>
      </c>
      <c r="D58">
        <v>2023</v>
      </c>
      <c r="E58" t="s">
        <v>71</v>
      </c>
      <c r="F58" t="s">
        <v>11</v>
      </c>
      <c r="G58">
        <v>40</v>
      </c>
      <c r="H58" t="s">
        <v>15</v>
      </c>
      <c r="I58">
        <v>2</v>
      </c>
      <c r="J58">
        <v>214</v>
      </c>
      <c r="K58">
        <v>428</v>
      </c>
      <c r="L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" spans="1:12" x14ac:dyDescent="0.3">
      <c r="A59">
        <v>58</v>
      </c>
      <c r="B59" s="1">
        <v>45072</v>
      </c>
      <c r="C59" s="1" t="str">
        <f>TEXT(RetailStore[[#This Row],[Date]],"mmm")</f>
        <v>May</v>
      </c>
      <c r="D59">
        <v>2023</v>
      </c>
      <c r="E59" t="s">
        <v>72</v>
      </c>
      <c r="F59" t="s">
        <v>11</v>
      </c>
      <c r="G59">
        <v>46</v>
      </c>
      <c r="H59" t="s">
        <v>12</v>
      </c>
      <c r="I59">
        <v>3</v>
      </c>
      <c r="J59">
        <v>338</v>
      </c>
      <c r="K59">
        <v>1014</v>
      </c>
      <c r="L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0" spans="1:12" x14ac:dyDescent="0.3">
      <c r="A60">
        <v>59</v>
      </c>
      <c r="B60" s="1">
        <v>45261</v>
      </c>
      <c r="C60" s="1" t="str">
        <f>TEXT(RetailStore[[#This Row],[Date]],"mmm")</f>
        <v>Dec</v>
      </c>
      <c r="D60">
        <v>2023</v>
      </c>
      <c r="E60" t="s">
        <v>73</v>
      </c>
      <c r="F60" t="s">
        <v>11</v>
      </c>
      <c r="G60">
        <v>60</v>
      </c>
      <c r="H60" t="s">
        <v>12</v>
      </c>
      <c r="I60">
        <v>3</v>
      </c>
      <c r="J60">
        <v>364</v>
      </c>
      <c r="K60">
        <v>1092</v>
      </c>
      <c r="L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1" spans="1:12" x14ac:dyDescent="0.3">
      <c r="A61">
        <v>60</v>
      </c>
      <c r="B61" s="1">
        <v>44980</v>
      </c>
      <c r="C61" s="1" t="str">
        <f>TEXT(RetailStore[[#This Row],[Date]],"mmm")</f>
        <v>Feb</v>
      </c>
      <c r="D61">
        <v>2023</v>
      </c>
      <c r="E61" t="s">
        <v>74</v>
      </c>
      <c r="F61" t="s">
        <v>11</v>
      </c>
      <c r="G61">
        <v>34</v>
      </c>
      <c r="H61" t="s">
        <v>15</v>
      </c>
      <c r="I61">
        <v>1</v>
      </c>
      <c r="J61">
        <v>405</v>
      </c>
      <c r="K61">
        <v>405</v>
      </c>
      <c r="L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2" spans="1:12" x14ac:dyDescent="0.3">
      <c r="A62">
        <v>61</v>
      </c>
      <c r="B62" s="1">
        <v>45210</v>
      </c>
      <c r="C62" s="1" t="str">
        <f>TEXT(RetailStore[[#This Row],[Date]],"mmm")</f>
        <v>Oct</v>
      </c>
      <c r="D62">
        <v>2023</v>
      </c>
      <c r="E62" t="s">
        <v>75</v>
      </c>
      <c r="F62" t="s">
        <v>11</v>
      </c>
      <c r="G62">
        <v>35</v>
      </c>
      <c r="H62" t="s">
        <v>20</v>
      </c>
      <c r="I62">
        <v>2</v>
      </c>
      <c r="J62">
        <v>392</v>
      </c>
      <c r="K62">
        <v>784</v>
      </c>
      <c r="L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3" spans="1:12" x14ac:dyDescent="0.3">
      <c r="A63">
        <v>62</v>
      </c>
      <c r="B63" s="1">
        <v>45102</v>
      </c>
      <c r="C63" s="1" t="str">
        <f>TEXT(RetailStore[[#This Row],[Date]],"mmm")</f>
        <v>Jun</v>
      </c>
      <c r="D63">
        <v>2023</v>
      </c>
      <c r="E63" t="s">
        <v>76</v>
      </c>
      <c r="F63" t="s">
        <v>11</v>
      </c>
      <c r="G63">
        <v>61</v>
      </c>
      <c r="H63" t="s">
        <v>12</v>
      </c>
      <c r="I63">
        <v>3</v>
      </c>
      <c r="J63">
        <v>283</v>
      </c>
      <c r="K63">
        <v>849</v>
      </c>
      <c r="L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4" spans="1:12" x14ac:dyDescent="0.3">
      <c r="A64">
        <v>63</v>
      </c>
      <c r="B64" s="1">
        <v>45177</v>
      </c>
      <c r="C64" s="1" t="str">
        <f>TEXT(RetailStore[[#This Row],[Date]],"mmm")</f>
        <v>Sep</v>
      </c>
      <c r="D64">
        <v>2023</v>
      </c>
      <c r="E64" t="s">
        <v>77</v>
      </c>
      <c r="F64" t="s">
        <v>18</v>
      </c>
      <c r="G64">
        <v>21</v>
      </c>
      <c r="H64" t="s">
        <v>15</v>
      </c>
      <c r="I64">
        <v>4</v>
      </c>
      <c r="J64">
        <v>449</v>
      </c>
      <c r="K64">
        <v>1796</v>
      </c>
      <c r="L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5" spans="1:12" x14ac:dyDescent="0.3">
      <c r="A65">
        <v>64</v>
      </c>
      <c r="B65" s="1">
        <v>45068</v>
      </c>
      <c r="C65" s="1" t="str">
        <f>TEXT(RetailStore[[#This Row],[Date]],"mmm")</f>
        <v>May</v>
      </c>
      <c r="D65">
        <v>2023</v>
      </c>
      <c r="E65" t="s">
        <v>78</v>
      </c>
      <c r="F65" t="s">
        <v>11</v>
      </c>
      <c r="G65">
        <v>18</v>
      </c>
      <c r="H65" t="s">
        <v>20</v>
      </c>
      <c r="I65">
        <v>2</v>
      </c>
      <c r="J65">
        <v>351</v>
      </c>
      <c r="K65">
        <v>702</v>
      </c>
      <c r="L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6" spans="1:12" x14ac:dyDescent="0.3">
      <c r="A66">
        <v>65</v>
      </c>
      <c r="B66" s="1">
        <v>45061</v>
      </c>
      <c r="C66" s="1" t="str">
        <f>TEXT(RetailStore[[#This Row],[Date]],"mmm")</f>
        <v>May</v>
      </c>
      <c r="D66">
        <v>2023</v>
      </c>
      <c r="E66" t="s">
        <v>79</v>
      </c>
      <c r="F66" t="s">
        <v>11</v>
      </c>
      <c r="G66">
        <v>46</v>
      </c>
      <c r="H66" t="s">
        <v>12</v>
      </c>
      <c r="I66">
        <v>4</v>
      </c>
      <c r="J66">
        <v>312</v>
      </c>
      <c r="K66">
        <v>1248</v>
      </c>
      <c r="L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7" spans="1:12" x14ac:dyDescent="0.3">
      <c r="A67">
        <v>66</v>
      </c>
      <c r="B67" s="1">
        <v>44931</v>
      </c>
      <c r="C67" s="1" t="str">
        <f>TEXT(RetailStore[[#This Row],[Date]],"mmm")</f>
        <v>Jan</v>
      </c>
      <c r="D67">
        <v>2023</v>
      </c>
      <c r="E67" t="s">
        <v>80</v>
      </c>
      <c r="F67" t="s">
        <v>11</v>
      </c>
      <c r="G67">
        <v>22</v>
      </c>
      <c r="H67" t="s">
        <v>12</v>
      </c>
      <c r="I67">
        <v>2</v>
      </c>
      <c r="J67">
        <v>304</v>
      </c>
      <c r="K67">
        <v>608</v>
      </c>
      <c r="L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8" spans="1:12" x14ac:dyDescent="0.3">
      <c r="A68">
        <v>67</v>
      </c>
      <c r="B68" s="1">
        <v>44945</v>
      </c>
      <c r="C68" s="1" t="str">
        <f>TEXT(RetailStore[[#This Row],[Date]],"mmm")</f>
        <v>Jan</v>
      </c>
      <c r="D68">
        <v>2023</v>
      </c>
      <c r="E68" t="s">
        <v>81</v>
      </c>
      <c r="F68" t="s">
        <v>18</v>
      </c>
      <c r="G68">
        <v>55</v>
      </c>
      <c r="H68" t="s">
        <v>12</v>
      </c>
      <c r="I68">
        <v>2</v>
      </c>
      <c r="J68">
        <v>245</v>
      </c>
      <c r="K68">
        <v>490</v>
      </c>
      <c r="L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9" spans="1:12" x14ac:dyDescent="0.3">
      <c r="A69">
        <v>68</v>
      </c>
      <c r="B69" s="1">
        <v>44992</v>
      </c>
      <c r="C69" s="1" t="str">
        <f>TEXT(RetailStore[[#This Row],[Date]],"mmm")</f>
        <v>Mar</v>
      </c>
      <c r="D69">
        <v>2023</v>
      </c>
      <c r="E69" t="s">
        <v>82</v>
      </c>
      <c r="F69" t="s">
        <v>11</v>
      </c>
      <c r="G69">
        <v>37</v>
      </c>
      <c r="H69" t="s">
        <v>20</v>
      </c>
      <c r="I69">
        <v>1</v>
      </c>
      <c r="J69">
        <v>485</v>
      </c>
      <c r="K69">
        <v>485</v>
      </c>
      <c r="L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0" spans="1:12" x14ac:dyDescent="0.3">
      <c r="A70">
        <v>69</v>
      </c>
      <c r="B70" s="1">
        <v>45110</v>
      </c>
      <c r="C70" s="1" t="str">
        <f>TEXT(RetailStore[[#This Row],[Date]],"mmm")</f>
        <v>Jul</v>
      </c>
      <c r="D70">
        <v>2023</v>
      </c>
      <c r="E70" t="s">
        <v>83</v>
      </c>
      <c r="F70" t="s">
        <v>11</v>
      </c>
      <c r="G70">
        <v>61</v>
      </c>
      <c r="H70" t="s">
        <v>15</v>
      </c>
      <c r="I70">
        <v>1</v>
      </c>
      <c r="J70">
        <v>206</v>
      </c>
      <c r="K70">
        <v>206</v>
      </c>
      <c r="L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1" spans="1:12" x14ac:dyDescent="0.3">
      <c r="A71">
        <v>70</v>
      </c>
      <c r="B71" s="1">
        <v>45213</v>
      </c>
      <c r="C71" s="1" t="str">
        <f>TEXT(RetailStore[[#This Row],[Date]],"mmm")</f>
        <v>Oct</v>
      </c>
      <c r="D71">
        <v>2023</v>
      </c>
      <c r="E71" t="s">
        <v>84</v>
      </c>
      <c r="F71" t="s">
        <v>18</v>
      </c>
      <c r="G71">
        <v>57</v>
      </c>
      <c r="H71" t="s">
        <v>12</v>
      </c>
      <c r="I71">
        <v>2</v>
      </c>
      <c r="J71">
        <v>498</v>
      </c>
      <c r="K71">
        <v>996</v>
      </c>
      <c r="L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2" spans="1:12" x14ac:dyDescent="0.3">
      <c r="A72">
        <v>71</v>
      </c>
      <c r="B72" s="1">
        <v>45048</v>
      </c>
      <c r="C72" s="1" t="str">
        <f>TEXT(RetailStore[[#This Row],[Date]],"mmm")</f>
        <v>May</v>
      </c>
      <c r="D72">
        <v>2023</v>
      </c>
      <c r="E72" t="s">
        <v>85</v>
      </c>
      <c r="F72" t="s">
        <v>11</v>
      </c>
      <c r="G72">
        <v>29</v>
      </c>
      <c r="H72" t="s">
        <v>20</v>
      </c>
      <c r="I72">
        <v>1</v>
      </c>
      <c r="J72">
        <v>116</v>
      </c>
      <c r="K72">
        <v>116</v>
      </c>
      <c r="L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3" spans="1:12" x14ac:dyDescent="0.3">
      <c r="A73">
        <v>72</v>
      </c>
      <c r="B73" s="1">
        <v>45097</v>
      </c>
      <c r="C73" s="1" t="str">
        <f>TEXT(RetailStore[[#This Row],[Date]],"mmm")</f>
        <v>Jun</v>
      </c>
      <c r="D73">
        <v>2023</v>
      </c>
      <c r="E73" t="s">
        <v>86</v>
      </c>
      <c r="F73" t="s">
        <v>18</v>
      </c>
      <c r="G73">
        <v>60</v>
      </c>
      <c r="H73" t="s">
        <v>12</v>
      </c>
      <c r="I73">
        <v>2</v>
      </c>
      <c r="J73">
        <v>161</v>
      </c>
      <c r="K73">
        <v>322</v>
      </c>
      <c r="L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4" spans="1:12" x14ac:dyDescent="0.3">
      <c r="A74">
        <v>73</v>
      </c>
      <c r="B74" s="1">
        <v>45008</v>
      </c>
      <c r="C74" s="1" t="str">
        <f>TEXT(RetailStore[[#This Row],[Date]],"mmm")</f>
        <v>Mar</v>
      </c>
      <c r="D74">
        <v>2023</v>
      </c>
      <c r="E74" t="s">
        <v>87</v>
      </c>
      <c r="F74" t="s">
        <v>11</v>
      </c>
      <c r="G74">
        <v>42</v>
      </c>
      <c r="H74" t="s">
        <v>15</v>
      </c>
      <c r="I74">
        <v>4</v>
      </c>
      <c r="J74">
        <v>138</v>
      </c>
      <c r="K74">
        <v>552</v>
      </c>
      <c r="L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5" spans="1:12" x14ac:dyDescent="0.3">
      <c r="A75">
        <v>74</v>
      </c>
      <c r="B75" s="1">
        <v>45029</v>
      </c>
      <c r="C75" s="1" t="str">
        <f>TEXT(RetailStore[[#This Row],[Date]],"mmm")</f>
        <v>Apr</v>
      </c>
      <c r="D75">
        <v>2023</v>
      </c>
      <c r="E75" t="s">
        <v>88</v>
      </c>
      <c r="F75" t="s">
        <v>18</v>
      </c>
      <c r="G75">
        <v>40</v>
      </c>
      <c r="H75" t="s">
        <v>20</v>
      </c>
      <c r="I75">
        <v>2</v>
      </c>
      <c r="J75">
        <v>139</v>
      </c>
      <c r="K75">
        <v>278</v>
      </c>
      <c r="L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6" spans="1:12" x14ac:dyDescent="0.3">
      <c r="A76">
        <v>75</v>
      </c>
      <c r="B76" s="1">
        <v>44939</v>
      </c>
      <c r="C76" s="1" t="str">
        <f>TEXT(RetailStore[[#This Row],[Date]],"mmm")</f>
        <v>Jan</v>
      </c>
      <c r="D76">
        <v>2023</v>
      </c>
      <c r="E76" t="s">
        <v>89</v>
      </c>
      <c r="F76" t="s">
        <v>11</v>
      </c>
      <c r="G76">
        <v>43</v>
      </c>
      <c r="H76" t="s">
        <v>20</v>
      </c>
      <c r="I76">
        <v>3</v>
      </c>
      <c r="J76">
        <v>467</v>
      </c>
      <c r="K76">
        <v>1401</v>
      </c>
      <c r="L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7" spans="1:12" x14ac:dyDescent="0.3">
      <c r="A77">
        <v>76</v>
      </c>
      <c r="B77" s="1">
        <v>44962</v>
      </c>
      <c r="C77" s="1" t="str">
        <f>TEXT(RetailStore[[#This Row],[Date]],"mmm")</f>
        <v>Feb</v>
      </c>
      <c r="D77">
        <v>2023</v>
      </c>
      <c r="E77" t="s">
        <v>90</v>
      </c>
      <c r="F77" t="s">
        <v>18</v>
      </c>
      <c r="G77">
        <v>40</v>
      </c>
      <c r="H77" t="s">
        <v>12</v>
      </c>
      <c r="I77">
        <v>4</v>
      </c>
      <c r="J77">
        <v>372</v>
      </c>
      <c r="K77">
        <v>1488</v>
      </c>
      <c r="L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8" spans="1:12" x14ac:dyDescent="0.3">
      <c r="A78">
        <v>77</v>
      </c>
      <c r="B78" s="1">
        <v>45201</v>
      </c>
      <c r="C78" s="1" t="str">
        <f>TEXT(RetailStore[[#This Row],[Date]],"mmm")</f>
        <v>Oct</v>
      </c>
      <c r="D78">
        <v>2023</v>
      </c>
      <c r="E78" t="s">
        <v>91</v>
      </c>
      <c r="F78" t="s">
        <v>18</v>
      </c>
      <c r="G78">
        <v>19</v>
      </c>
      <c r="H78" t="s">
        <v>15</v>
      </c>
      <c r="I78">
        <v>3</v>
      </c>
      <c r="J78">
        <v>116</v>
      </c>
      <c r="K78">
        <v>348</v>
      </c>
      <c r="L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9" spans="1:12" x14ac:dyDescent="0.3">
      <c r="A79">
        <v>78</v>
      </c>
      <c r="B79" s="1">
        <v>45224</v>
      </c>
      <c r="C79" s="1" t="str">
        <f>TEXT(RetailStore[[#This Row],[Date]],"mmm")</f>
        <v>Oct</v>
      </c>
      <c r="D79">
        <v>2023</v>
      </c>
      <c r="E79" t="s">
        <v>92</v>
      </c>
      <c r="F79" t="s">
        <v>18</v>
      </c>
      <c r="G79">
        <v>20</v>
      </c>
      <c r="H79" t="s">
        <v>15</v>
      </c>
      <c r="I79">
        <v>4</v>
      </c>
      <c r="J79">
        <v>201</v>
      </c>
      <c r="K79">
        <v>804</v>
      </c>
      <c r="L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0" spans="1:12" x14ac:dyDescent="0.3">
      <c r="A80">
        <v>79</v>
      </c>
      <c r="B80" s="1">
        <v>45087</v>
      </c>
      <c r="C80" s="1" t="str">
        <f>TEXT(RetailStore[[#This Row],[Date]],"mmm")</f>
        <v>Jun</v>
      </c>
      <c r="D80">
        <v>2023</v>
      </c>
      <c r="E80" t="s">
        <v>93</v>
      </c>
      <c r="F80" t="s">
        <v>18</v>
      </c>
      <c r="G80">
        <v>56</v>
      </c>
      <c r="H80" t="s">
        <v>12</v>
      </c>
      <c r="I80">
        <v>1</v>
      </c>
      <c r="J80">
        <v>222</v>
      </c>
      <c r="K80">
        <v>222</v>
      </c>
      <c r="L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1" spans="1:12" x14ac:dyDescent="0.3">
      <c r="A81">
        <v>80</v>
      </c>
      <c r="B81" s="1">
        <v>45222</v>
      </c>
      <c r="C81" s="1" t="str">
        <f>TEXT(RetailStore[[#This Row],[Date]],"mmm")</f>
        <v>Oct</v>
      </c>
      <c r="D81">
        <v>2023</v>
      </c>
      <c r="E81" t="s">
        <v>94</v>
      </c>
      <c r="F81" t="s">
        <v>11</v>
      </c>
      <c r="G81">
        <v>34</v>
      </c>
      <c r="H81" t="s">
        <v>15</v>
      </c>
      <c r="I81">
        <v>4</v>
      </c>
      <c r="J81">
        <v>25</v>
      </c>
      <c r="K81">
        <v>100</v>
      </c>
      <c r="L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2" spans="1:12" x14ac:dyDescent="0.3">
      <c r="A82">
        <v>81</v>
      </c>
      <c r="B82" s="1">
        <v>45193</v>
      </c>
      <c r="C82" s="1" t="str">
        <f>TEXT(RetailStore[[#This Row],[Date]],"mmm")</f>
        <v>Sep</v>
      </c>
      <c r="D82">
        <v>2023</v>
      </c>
      <c r="E82" t="s">
        <v>95</v>
      </c>
      <c r="F82" t="s">
        <v>11</v>
      </c>
      <c r="G82">
        <v>41</v>
      </c>
      <c r="H82" t="s">
        <v>20</v>
      </c>
      <c r="I82">
        <v>1</v>
      </c>
      <c r="J82">
        <v>365</v>
      </c>
      <c r="K82">
        <v>365</v>
      </c>
      <c r="L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3" spans="1:12" x14ac:dyDescent="0.3">
      <c r="A83">
        <v>82</v>
      </c>
      <c r="B83" s="1">
        <v>45096</v>
      </c>
      <c r="C83" s="1" t="str">
        <f>TEXT(RetailStore[[#This Row],[Date]],"mmm")</f>
        <v>Jun</v>
      </c>
      <c r="D83">
        <v>2023</v>
      </c>
      <c r="E83" t="s">
        <v>96</v>
      </c>
      <c r="F83" t="s">
        <v>18</v>
      </c>
      <c r="G83">
        <v>60</v>
      </c>
      <c r="H83" t="s">
        <v>15</v>
      </c>
      <c r="I83">
        <v>3</v>
      </c>
      <c r="J83">
        <v>284</v>
      </c>
      <c r="K83">
        <v>852</v>
      </c>
      <c r="L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4" spans="1:12" x14ac:dyDescent="0.3">
      <c r="A84">
        <v>83</v>
      </c>
      <c r="B84" s="1">
        <v>45085</v>
      </c>
      <c r="C84" s="1" t="str">
        <f>TEXT(RetailStore[[#This Row],[Date]],"mmm")</f>
        <v>Jun</v>
      </c>
      <c r="D84">
        <v>2023</v>
      </c>
      <c r="E84" t="s">
        <v>97</v>
      </c>
      <c r="F84" t="s">
        <v>18</v>
      </c>
      <c r="G84">
        <v>38</v>
      </c>
      <c r="H84" t="s">
        <v>20</v>
      </c>
      <c r="I84">
        <v>3</v>
      </c>
      <c r="J84">
        <v>308</v>
      </c>
      <c r="K84">
        <v>924</v>
      </c>
      <c r="L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5" spans="1:12" x14ac:dyDescent="0.3">
      <c r="A85">
        <v>84</v>
      </c>
      <c r="B85" s="1">
        <v>44992</v>
      </c>
      <c r="C85" s="1" t="str">
        <f>TEXT(RetailStore[[#This Row],[Date]],"mmm")</f>
        <v>Mar</v>
      </c>
      <c r="D85">
        <v>2023</v>
      </c>
      <c r="E85" t="s">
        <v>98</v>
      </c>
      <c r="F85" t="s">
        <v>11</v>
      </c>
      <c r="G85">
        <v>44</v>
      </c>
      <c r="H85" t="s">
        <v>12</v>
      </c>
      <c r="I85">
        <v>4</v>
      </c>
      <c r="J85">
        <v>371</v>
      </c>
      <c r="K85">
        <v>1484</v>
      </c>
      <c r="L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6" spans="1:12" x14ac:dyDescent="0.3">
      <c r="A86">
        <v>85</v>
      </c>
      <c r="B86" s="1">
        <v>45016</v>
      </c>
      <c r="C86" s="1" t="str">
        <f>TEXT(RetailStore[[#This Row],[Date]],"mmm")</f>
        <v>Mar</v>
      </c>
      <c r="D86">
        <v>2023</v>
      </c>
      <c r="E86" t="s">
        <v>99</v>
      </c>
      <c r="F86" t="s">
        <v>18</v>
      </c>
      <c r="G86">
        <v>43</v>
      </c>
      <c r="H86" t="s">
        <v>12</v>
      </c>
      <c r="I86">
        <v>1</v>
      </c>
      <c r="J86">
        <v>180</v>
      </c>
      <c r="K86">
        <v>180</v>
      </c>
      <c r="L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7" spans="1:12" x14ac:dyDescent="0.3">
      <c r="A87">
        <v>86</v>
      </c>
      <c r="B87" s="1">
        <v>45073</v>
      </c>
      <c r="C87" s="1" t="str">
        <f>TEXT(RetailStore[[#This Row],[Date]],"mmm")</f>
        <v>May</v>
      </c>
      <c r="D87">
        <v>2023</v>
      </c>
      <c r="E87" t="s">
        <v>100</v>
      </c>
      <c r="F87" t="s">
        <v>11</v>
      </c>
      <c r="G87">
        <v>45</v>
      </c>
      <c r="H87" t="s">
        <v>12</v>
      </c>
      <c r="I87">
        <v>3</v>
      </c>
      <c r="J87">
        <v>263</v>
      </c>
      <c r="K87">
        <v>789</v>
      </c>
      <c r="L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8" spans="1:12" x14ac:dyDescent="0.3">
      <c r="A88">
        <v>87</v>
      </c>
      <c r="B88" s="1">
        <v>45153</v>
      </c>
      <c r="C88" s="1" t="str">
        <f>TEXT(RetailStore[[#This Row],[Date]],"mmm")</f>
        <v>Aug</v>
      </c>
      <c r="D88">
        <v>2023</v>
      </c>
      <c r="E88" t="s">
        <v>101</v>
      </c>
      <c r="F88" t="s">
        <v>18</v>
      </c>
      <c r="G88">
        <v>61</v>
      </c>
      <c r="H88" t="s">
        <v>15</v>
      </c>
      <c r="I88">
        <v>4</v>
      </c>
      <c r="J88">
        <v>431</v>
      </c>
      <c r="K88">
        <v>1724</v>
      </c>
      <c r="L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9" spans="1:12" x14ac:dyDescent="0.3">
      <c r="A89">
        <v>88</v>
      </c>
      <c r="B89" s="1">
        <v>45013</v>
      </c>
      <c r="C89" s="1" t="str">
        <f>TEXT(RetailStore[[#This Row],[Date]],"mmm")</f>
        <v>Mar</v>
      </c>
      <c r="D89">
        <v>2023</v>
      </c>
      <c r="E89" t="s">
        <v>102</v>
      </c>
      <c r="F89" t="s">
        <v>11</v>
      </c>
      <c r="G89">
        <v>36</v>
      </c>
      <c r="H89" t="s">
        <v>12</v>
      </c>
      <c r="I89">
        <v>3</v>
      </c>
      <c r="J89">
        <v>72</v>
      </c>
      <c r="K89">
        <v>216</v>
      </c>
      <c r="L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0" spans="1:12" x14ac:dyDescent="0.3">
      <c r="A90">
        <v>89</v>
      </c>
      <c r="B90" s="1">
        <v>45047</v>
      </c>
      <c r="C90" s="1" t="str">
        <f>TEXT(RetailStore[[#This Row],[Date]],"mmm")</f>
        <v>May</v>
      </c>
      <c r="D90">
        <v>2023</v>
      </c>
      <c r="E90" t="s">
        <v>103</v>
      </c>
      <c r="F90" t="s">
        <v>18</v>
      </c>
      <c r="G90">
        <v>32</v>
      </c>
      <c r="H90" t="s">
        <v>15</v>
      </c>
      <c r="I90">
        <v>2</v>
      </c>
      <c r="J90">
        <v>37</v>
      </c>
      <c r="K90">
        <v>74</v>
      </c>
      <c r="L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1" spans="1:12" x14ac:dyDescent="0.3">
      <c r="A91">
        <v>90</v>
      </c>
      <c r="B91" s="1">
        <v>44950</v>
      </c>
      <c r="C91" s="1" t="str">
        <f>TEXT(RetailStore[[#This Row],[Date]],"mmm")</f>
        <v>Jan</v>
      </c>
      <c r="D91">
        <v>2023</v>
      </c>
      <c r="E91" t="s">
        <v>104</v>
      </c>
      <c r="F91" t="s">
        <v>11</v>
      </c>
      <c r="G91">
        <v>48</v>
      </c>
      <c r="H91" t="s">
        <v>12</v>
      </c>
      <c r="I91">
        <v>1</v>
      </c>
      <c r="J91">
        <v>258</v>
      </c>
      <c r="K91">
        <v>258</v>
      </c>
      <c r="L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2" spans="1:12" x14ac:dyDescent="0.3">
      <c r="A92">
        <v>91</v>
      </c>
      <c r="B92" s="1">
        <v>45139</v>
      </c>
      <c r="C92" s="1" t="str">
        <f>TEXT(RetailStore[[#This Row],[Date]],"mmm")</f>
        <v>Aug</v>
      </c>
      <c r="D92">
        <v>2023</v>
      </c>
      <c r="E92" t="s">
        <v>105</v>
      </c>
      <c r="F92" t="s">
        <v>11</v>
      </c>
      <c r="G92">
        <v>63</v>
      </c>
      <c r="H92" t="s">
        <v>12</v>
      </c>
      <c r="I92">
        <v>4</v>
      </c>
      <c r="J92">
        <v>278</v>
      </c>
      <c r="K92">
        <v>1112</v>
      </c>
      <c r="L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3" spans="1:12" x14ac:dyDescent="0.3">
      <c r="A93">
        <v>92</v>
      </c>
      <c r="B93" s="1">
        <v>45131</v>
      </c>
      <c r="C93" s="1" t="str">
        <f>TEXT(RetailStore[[#This Row],[Date]],"mmm")</f>
        <v>Jul</v>
      </c>
      <c r="D93">
        <v>2023</v>
      </c>
      <c r="E93" t="s">
        <v>106</v>
      </c>
      <c r="F93" t="s">
        <v>11</v>
      </c>
      <c r="G93">
        <v>27</v>
      </c>
      <c r="H93" t="s">
        <v>12</v>
      </c>
      <c r="I93">
        <v>1</v>
      </c>
      <c r="J93">
        <v>482</v>
      </c>
      <c r="K93">
        <v>482</v>
      </c>
      <c r="L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4" spans="1:12" x14ac:dyDescent="0.3">
      <c r="A94">
        <v>93</v>
      </c>
      <c r="B94" s="1">
        <v>44981</v>
      </c>
      <c r="C94" s="1" t="str">
        <f>TEXT(RetailStore[[#This Row],[Date]],"mmm")</f>
        <v>Feb</v>
      </c>
      <c r="D94">
        <v>2023</v>
      </c>
      <c r="E94" t="s">
        <v>107</v>
      </c>
      <c r="F94" t="s">
        <v>18</v>
      </c>
      <c r="G94">
        <v>32</v>
      </c>
      <c r="H94" t="s">
        <v>15</v>
      </c>
      <c r="I94">
        <v>4</v>
      </c>
      <c r="J94">
        <v>50</v>
      </c>
      <c r="K94">
        <v>200</v>
      </c>
      <c r="L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5" spans="1:12" x14ac:dyDescent="0.3">
      <c r="A95">
        <v>94</v>
      </c>
      <c r="B95" s="1">
        <v>45212</v>
      </c>
      <c r="C95" s="1" t="str">
        <f>TEXT(RetailStore[[#This Row],[Date]],"mmm")</f>
        <v>Oct</v>
      </c>
      <c r="D95">
        <v>2023</v>
      </c>
      <c r="E95" t="s">
        <v>108</v>
      </c>
      <c r="F95" t="s">
        <v>11</v>
      </c>
      <c r="G95">
        <v>25</v>
      </c>
      <c r="H95" t="s">
        <v>20</v>
      </c>
      <c r="I95">
        <v>2</v>
      </c>
      <c r="J95">
        <v>435</v>
      </c>
      <c r="K95">
        <v>870</v>
      </c>
      <c r="L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6" spans="1:12" x14ac:dyDescent="0.3">
      <c r="A96">
        <v>95</v>
      </c>
      <c r="B96" s="1">
        <v>45164</v>
      </c>
      <c r="C96" s="1" t="str">
        <f>TEXT(RetailStore[[#This Row],[Date]],"mmm")</f>
        <v>Aug</v>
      </c>
      <c r="D96">
        <v>2023</v>
      </c>
      <c r="E96" t="s">
        <v>109</v>
      </c>
      <c r="F96" t="s">
        <v>18</v>
      </c>
      <c r="G96">
        <v>46</v>
      </c>
      <c r="H96" t="s">
        <v>12</v>
      </c>
      <c r="I96">
        <v>4</v>
      </c>
      <c r="J96">
        <v>450</v>
      </c>
      <c r="K96">
        <v>1800</v>
      </c>
      <c r="L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7" spans="1:12" x14ac:dyDescent="0.3">
      <c r="A97">
        <v>96</v>
      </c>
      <c r="B97" s="1">
        <v>45207</v>
      </c>
      <c r="C97" s="1" t="str">
        <f>TEXT(RetailStore[[#This Row],[Date]],"mmm")</f>
        <v>Oct</v>
      </c>
      <c r="D97">
        <v>2023</v>
      </c>
      <c r="E97" t="s">
        <v>110</v>
      </c>
      <c r="F97" t="s">
        <v>18</v>
      </c>
      <c r="G97">
        <v>28</v>
      </c>
      <c r="H97" t="s">
        <v>12</v>
      </c>
      <c r="I97">
        <v>4</v>
      </c>
      <c r="J97">
        <v>255</v>
      </c>
      <c r="K97">
        <v>1020</v>
      </c>
      <c r="L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8" spans="1:12" x14ac:dyDescent="0.3">
      <c r="A98">
        <v>97</v>
      </c>
      <c r="B98" s="1">
        <v>45059</v>
      </c>
      <c r="C98" s="1" t="str">
        <f>TEXT(RetailStore[[#This Row],[Date]],"mmm")</f>
        <v>May</v>
      </c>
      <c r="D98">
        <v>2023</v>
      </c>
      <c r="E98" t="s">
        <v>111</v>
      </c>
      <c r="F98" t="s">
        <v>11</v>
      </c>
      <c r="G98">
        <v>58</v>
      </c>
      <c r="H98" t="s">
        <v>20</v>
      </c>
      <c r="I98">
        <v>4</v>
      </c>
      <c r="J98">
        <v>345</v>
      </c>
      <c r="K98">
        <v>1380</v>
      </c>
      <c r="L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9" spans="1:12" x14ac:dyDescent="0.3">
      <c r="A99">
        <v>98</v>
      </c>
      <c r="B99" s="1">
        <v>45049</v>
      </c>
      <c r="C99" s="1" t="str">
        <f>TEXT(RetailStore[[#This Row],[Date]],"mmm")</f>
        <v>May</v>
      </c>
      <c r="D99">
        <v>2023</v>
      </c>
      <c r="E99" t="s">
        <v>112</v>
      </c>
      <c r="F99" t="s">
        <v>18</v>
      </c>
      <c r="G99">
        <v>46</v>
      </c>
      <c r="H99" t="s">
        <v>15</v>
      </c>
      <c r="I99">
        <v>3</v>
      </c>
      <c r="J99">
        <v>145</v>
      </c>
      <c r="K99">
        <v>435</v>
      </c>
      <c r="L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0" spans="1:12" x14ac:dyDescent="0.3">
      <c r="A100">
        <v>99</v>
      </c>
      <c r="B100" s="1">
        <v>45066</v>
      </c>
      <c r="C100" s="1" t="str">
        <f>TEXT(RetailStore[[#This Row],[Date]],"mmm")</f>
        <v>May</v>
      </c>
      <c r="D100">
        <v>2023</v>
      </c>
      <c r="E100" t="s">
        <v>113</v>
      </c>
      <c r="F100" t="s">
        <v>18</v>
      </c>
      <c r="G100">
        <v>38</v>
      </c>
      <c r="H100" t="s">
        <v>12</v>
      </c>
      <c r="I100">
        <v>1</v>
      </c>
      <c r="J100">
        <v>95</v>
      </c>
      <c r="K100">
        <v>95</v>
      </c>
      <c r="L1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1" spans="1:12" x14ac:dyDescent="0.3">
      <c r="A101">
        <v>100</v>
      </c>
      <c r="B101" s="1">
        <v>45004</v>
      </c>
      <c r="C101" s="1" t="str">
        <f>TEXT(RetailStore[[#This Row],[Date]],"mmm")</f>
        <v>Mar</v>
      </c>
      <c r="D101">
        <v>2023</v>
      </c>
      <c r="E101" t="s">
        <v>114</v>
      </c>
      <c r="F101" t="s">
        <v>11</v>
      </c>
      <c r="G101">
        <v>42</v>
      </c>
      <c r="H101" t="s">
        <v>12</v>
      </c>
      <c r="I101">
        <v>2</v>
      </c>
      <c r="J101">
        <v>386</v>
      </c>
      <c r="K101">
        <v>772</v>
      </c>
      <c r="L1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2" spans="1:12" x14ac:dyDescent="0.3">
      <c r="A102">
        <v>101</v>
      </c>
      <c r="B102" s="1">
        <v>45036</v>
      </c>
      <c r="C102" s="1" t="str">
        <f>TEXT(RetailStore[[#This Row],[Date]],"mmm")</f>
        <v>Apr</v>
      </c>
      <c r="D102">
        <v>2023</v>
      </c>
      <c r="E102" t="s">
        <v>115</v>
      </c>
      <c r="F102" t="s">
        <v>11</v>
      </c>
      <c r="G102">
        <v>44</v>
      </c>
      <c r="H102" t="s">
        <v>20</v>
      </c>
      <c r="I102">
        <v>3</v>
      </c>
      <c r="J102">
        <v>302</v>
      </c>
      <c r="K102">
        <v>906</v>
      </c>
      <c r="L1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3" spans="1:12" x14ac:dyDescent="0.3">
      <c r="A103">
        <v>102</v>
      </c>
      <c r="B103" s="1">
        <v>45165</v>
      </c>
      <c r="C103" s="1" t="str">
        <f>TEXT(RetailStore[[#This Row],[Date]],"mmm")</f>
        <v>Aug</v>
      </c>
      <c r="D103">
        <v>2023</v>
      </c>
      <c r="E103" t="s">
        <v>116</v>
      </c>
      <c r="F103" t="s">
        <v>18</v>
      </c>
      <c r="G103">
        <v>21</v>
      </c>
      <c r="H103" t="s">
        <v>15</v>
      </c>
      <c r="I103">
        <v>4</v>
      </c>
      <c r="J103">
        <v>224</v>
      </c>
      <c r="K103">
        <v>896</v>
      </c>
      <c r="L1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4" spans="1:12" x14ac:dyDescent="0.3">
      <c r="A104">
        <v>103</v>
      </c>
      <c r="B104" s="1">
        <v>45226</v>
      </c>
      <c r="C104" s="1" t="str">
        <f>TEXT(RetailStore[[#This Row],[Date]],"mmm")</f>
        <v>Oct</v>
      </c>
      <c r="D104">
        <v>2023</v>
      </c>
      <c r="E104" t="s">
        <v>117</v>
      </c>
      <c r="F104" t="s">
        <v>11</v>
      </c>
      <c r="G104">
        <v>54</v>
      </c>
      <c r="H104" t="s">
        <v>20</v>
      </c>
      <c r="I104">
        <v>4</v>
      </c>
      <c r="J104">
        <v>28</v>
      </c>
      <c r="K104">
        <v>112</v>
      </c>
      <c r="L1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5" spans="1:12" x14ac:dyDescent="0.3">
      <c r="A105">
        <v>104</v>
      </c>
      <c r="B105" s="1">
        <v>45107</v>
      </c>
      <c r="C105" s="1" t="str">
        <f>TEXT(RetailStore[[#This Row],[Date]],"mmm")</f>
        <v>Jun</v>
      </c>
      <c r="D105">
        <v>2023</v>
      </c>
      <c r="E105" t="s">
        <v>118</v>
      </c>
      <c r="F105" t="s">
        <v>18</v>
      </c>
      <c r="G105">
        <v>42</v>
      </c>
      <c r="H105" t="s">
        <v>20</v>
      </c>
      <c r="I105">
        <v>2</v>
      </c>
      <c r="J105">
        <v>274</v>
      </c>
      <c r="K105">
        <v>548</v>
      </c>
      <c r="L1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6" spans="1:12" x14ac:dyDescent="0.3">
      <c r="A106">
        <v>105</v>
      </c>
      <c r="B106" s="1">
        <v>45039</v>
      </c>
      <c r="C106" s="1" t="str">
        <f>TEXT(RetailStore[[#This Row],[Date]],"mmm")</f>
        <v>Apr</v>
      </c>
      <c r="D106">
        <v>2023</v>
      </c>
      <c r="E106" t="s">
        <v>119</v>
      </c>
      <c r="F106" t="s">
        <v>18</v>
      </c>
      <c r="G106">
        <v>45</v>
      </c>
      <c r="H106" t="s">
        <v>20</v>
      </c>
      <c r="I106">
        <v>1</v>
      </c>
      <c r="J106">
        <v>224</v>
      </c>
      <c r="K106">
        <v>224</v>
      </c>
      <c r="L1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7" spans="1:12" x14ac:dyDescent="0.3">
      <c r="A107">
        <v>106</v>
      </c>
      <c r="B107" s="1">
        <v>45099</v>
      </c>
      <c r="C107" s="1" t="str">
        <f>TEXT(RetailStore[[#This Row],[Date]],"mmm")</f>
        <v>Jun</v>
      </c>
      <c r="D107">
        <v>2023</v>
      </c>
      <c r="E107" t="s">
        <v>120</v>
      </c>
      <c r="F107" t="s">
        <v>18</v>
      </c>
      <c r="G107">
        <v>64</v>
      </c>
      <c r="H107" t="s">
        <v>15</v>
      </c>
      <c r="I107">
        <v>4</v>
      </c>
      <c r="J107">
        <v>495</v>
      </c>
      <c r="K107">
        <v>1980</v>
      </c>
      <c r="L1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8" spans="1:12" x14ac:dyDescent="0.3">
      <c r="A108">
        <v>107</v>
      </c>
      <c r="B108" s="1">
        <v>44992</v>
      </c>
      <c r="C108" s="1" t="str">
        <f>TEXT(RetailStore[[#This Row],[Date]],"mmm")</f>
        <v>Mar</v>
      </c>
      <c r="D108">
        <v>2023</v>
      </c>
      <c r="E108" t="s">
        <v>121</v>
      </c>
      <c r="F108" t="s">
        <v>11</v>
      </c>
      <c r="G108">
        <v>43</v>
      </c>
      <c r="H108" t="s">
        <v>12</v>
      </c>
      <c r="I108">
        <v>1</v>
      </c>
      <c r="J108">
        <v>67</v>
      </c>
      <c r="K108">
        <v>67</v>
      </c>
      <c r="L1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9" spans="1:12" x14ac:dyDescent="0.3">
      <c r="A109">
        <v>108</v>
      </c>
      <c r="B109" s="1">
        <v>45256</v>
      </c>
      <c r="C109" s="1" t="str">
        <f>TEXT(RetailStore[[#This Row],[Date]],"mmm")</f>
        <v>Nov</v>
      </c>
      <c r="D109">
        <v>2023</v>
      </c>
      <c r="E109" t="s">
        <v>122</v>
      </c>
      <c r="F109" t="s">
        <v>18</v>
      </c>
      <c r="G109">
        <v>26</v>
      </c>
      <c r="H109" t="s">
        <v>20</v>
      </c>
      <c r="I109">
        <v>2</v>
      </c>
      <c r="J109">
        <v>50</v>
      </c>
      <c r="K109">
        <v>100</v>
      </c>
      <c r="L1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0" spans="1:12" x14ac:dyDescent="0.3">
      <c r="A110">
        <v>109</v>
      </c>
      <c r="B110" s="1">
        <v>45060</v>
      </c>
      <c r="C110" s="1" t="str">
        <f>TEXT(RetailStore[[#This Row],[Date]],"mmm")</f>
        <v>May</v>
      </c>
      <c r="D110">
        <v>2023</v>
      </c>
      <c r="E110" t="s">
        <v>123</v>
      </c>
      <c r="F110" t="s">
        <v>18</v>
      </c>
      <c r="G110">
        <v>38</v>
      </c>
      <c r="H110" t="s">
        <v>15</v>
      </c>
      <c r="I110">
        <v>4</v>
      </c>
      <c r="J110">
        <v>192</v>
      </c>
      <c r="K110">
        <v>768</v>
      </c>
      <c r="L1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1" spans="1:12" x14ac:dyDescent="0.3">
      <c r="A111">
        <v>110</v>
      </c>
      <c r="B111" s="1">
        <v>45099</v>
      </c>
      <c r="C111" s="1" t="str">
        <f>TEXT(RetailStore[[#This Row],[Date]],"mmm")</f>
        <v>Jun</v>
      </c>
      <c r="D111">
        <v>2023</v>
      </c>
      <c r="E111" t="s">
        <v>124</v>
      </c>
      <c r="F111" t="s">
        <v>18</v>
      </c>
      <c r="G111">
        <v>35</v>
      </c>
      <c r="H111" t="s">
        <v>20</v>
      </c>
      <c r="I111">
        <v>3</v>
      </c>
      <c r="J111">
        <v>452</v>
      </c>
      <c r="K111">
        <v>1356</v>
      </c>
      <c r="L1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2" spans="1:12" x14ac:dyDescent="0.3">
      <c r="A112">
        <v>111</v>
      </c>
      <c r="B112" s="1">
        <v>44968</v>
      </c>
      <c r="C112" s="1" t="str">
        <f>TEXT(RetailStore[[#This Row],[Date]],"mmm")</f>
        <v>Feb</v>
      </c>
      <c r="D112">
        <v>2023</v>
      </c>
      <c r="E112" t="s">
        <v>125</v>
      </c>
      <c r="F112" t="s">
        <v>18</v>
      </c>
      <c r="G112">
        <v>19</v>
      </c>
      <c r="H112" t="s">
        <v>12</v>
      </c>
      <c r="I112">
        <v>1</v>
      </c>
      <c r="J112">
        <v>204</v>
      </c>
      <c r="K112">
        <v>204</v>
      </c>
      <c r="L1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3" spans="1:12" x14ac:dyDescent="0.3">
      <c r="A113">
        <v>112</v>
      </c>
      <c r="B113" s="1">
        <v>45041</v>
      </c>
      <c r="C113" s="1" t="str">
        <f>TEXT(RetailStore[[#This Row],[Date]],"mmm")</f>
        <v>Apr</v>
      </c>
      <c r="D113">
        <v>2023</v>
      </c>
      <c r="E113" t="s">
        <v>126</v>
      </c>
      <c r="F113" t="s">
        <v>11</v>
      </c>
      <c r="G113">
        <v>59</v>
      </c>
      <c r="H113" t="s">
        <v>15</v>
      </c>
      <c r="I113">
        <v>1</v>
      </c>
      <c r="J113">
        <v>151</v>
      </c>
      <c r="K113">
        <v>151</v>
      </c>
      <c r="L1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4" spans="1:12" x14ac:dyDescent="0.3">
      <c r="A114">
        <v>113</v>
      </c>
      <c r="B114" s="1">
        <v>45029</v>
      </c>
      <c r="C114" s="1" t="str">
        <f>TEXT(RetailStore[[#This Row],[Date]],"mmm")</f>
        <v>Apr</v>
      </c>
      <c r="D114">
        <v>2023</v>
      </c>
      <c r="E114" t="s">
        <v>127</v>
      </c>
      <c r="F114" t="s">
        <v>11</v>
      </c>
      <c r="G114">
        <v>57</v>
      </c>
      <c r="H114" t="s">
        <v>15</v>
      </c>
      <c r="I114">
        <v>2</v>
      </c>
      <c r="J114">
        <v>89</v>
      </c>
      <c r="K114">
        <v>178</v>
      </c>
      <c r="L1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5" spans="1:12" x14ac:dyDescent="0.3">
      <c r="A115">
        <v>114</v>
      </c>
      <c r="B115" s="1">
        <v>45169</v>
      </c>
      <c r="C115" s="1" t="str">
        <f>TEXT(RetailStore[[#This Row],[Date]],"mmm")</f>
        <v>Aug</v>
      </c>
      <c r="D115">
        <v>2023</v>
      </c>
      <c r="E115" t="s">
        <v>128</v>
      </c>
      <c r="F115" t="s">
        <v>11</v>
      </c>
      <c r="G115">
        <v>54</v>
      </c>
      <c r="H115" t="s">
        <v>15</v>
      </c>
      <c r="I115">
        <v>4</v>
      </c>
      <c r="J115">
        <v>383</v>
      </c>
      <c r="K115">
        <v>1532</v>
      </c>
      <c r="L1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6" spans="1:12" x14ac:dyDescent="0.3">
      <c r="A116">
        <v>115</v>
      </c>
      <c r="B116" s="1">
        <v>45058</v>
      </c>
      <c r="C116" s="1" t="str">
        <f>TEXT(RetailStore[[#This Row],[Date]],"mmm")</f>
        <v>May</v>
      </c>
      <c r="D116">
        <v>2023</v>
      </c>
      <c r="E116" t="s">
        <v>129</v>
      </c>
      <c r="F116" t="s">
        <v>18</v>
      </c>
      <c r="G116">
        <v>28</v>
      </c>
      <c r="H116" t="s">
        <v>12</v>
      </c>
      <c r="I116">
        <v>1</v>
      </c>
      <c r="J116">
        <v>423</v>
      </c>
      <c r="K116">
        <v>423</v>
      </c>
      <c r="L1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7" spans="1:12" x14ac:dyDescent="0.3">
      <c r="A117">
        <v>116</v>
      </c>
      <c r="B117" s="1">
        <v>45010</v>
      </c>
      <c r="C117" s="1" t="str">
        <f>TEXT(RetailStore[[#This Row],[Date]],"mmm")</f>
        <v>Mar</v>
      </c>
      <c r="D117">
        <v>2023</v>
      </c>
      <c r="E117" t="s">
        <v>130</v>
      </c>
      <c r="F117" t="s">
        <v>18</v>
      </c>
      <c r="G117">
        <v>24</v>
      </c>
      <c r="H117" t="s">
        <v>12</v>
      </c>
      <c r="I117">
        <v>1</v>
      </c>
      <c r="J117">
        <v>500</v>
      </c>
      <c r="K117">
        <v>500</v>
      </c>
      <c r="L1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8" spans="1:12" x14ac:dyDescent="0.3">
      <c r="A118">
        <v>117</v>
      </c>
      <c r="B118" s="1">
        <v>45086</v>
      </c>
      <c r="C118" s="1" t="str">
        <f>TEXT(RetailStore[[#This Row],[Date]],"mmm")</f>
        <v>Jun</v>
      </c>
      <c r="D118">
        <v>2023</v>
      </c>
      <c r="E118" t="s">
        <v>131</v>
      </c>
      <c r="F118" t="s">
        <v>18</v>
      </c>
      <c r="G118">
        <v>43</v>
      </c>
      <c r="H118" t="s">
        <v>12</v>
      </c>
      <c r="I118">
        <v>2</v>
      </c>
      <c r="J118">
        <v>63</v>
      </c>
      <c r="K118">
        <v>126</v>
      </c>
      <c r="L1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9" spans="1:12" x14ac:dyDescent="0.3">
      <c r="A119">
        <v>118</v>
      </c>
      <c r="B119" s="1">
        <v>45230</v>
      </c>
      <c r="C119" s="1" t="str">
        <f>TEXT(RetailStore[[#This Row],[Date]],"mmm")</f>
        <v>Oct</v>
      </c>
      <c r="D119">
        <v>2023</v>
      </c>
      <c r="E119" t="s">
        <v>132</v>
      </c>
      <c r="F119" t="s">
        <v>11</v>
      </c>
      <c r="G119">
        <v>24</v>
      </c>
      <c r="H119" t="s">
        <v>12</v>
      </c>
      <c r="I119">
        <v>3</v>
      </c>
      <c r="J119">
        <v>460</v>
      </c>
      <c r="K119">
        <v>1380</v>
      </c>
      <c r="L1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0" spans="1:12" x14ac:dyDescent="0.3">
      <c r="A120">
        <v>119</v>
      </c>
      <c r="B120" s="1">
        <v>45277</v>
      </c>
      <c r="C120" s="1" t="str">
        <f>TEXT(RetailStore[[#This Row],[Date]],"mmm")</f>
        <v>Dec</v>
      </c>
      <c r="D120">
        <v>2023</v>
      </c>
      <c r="E120" t="s">
        <v>133</v>
      </c>
      <c r="F120" t="s">
        <v>11</v>
      </c>
      <c r="G120">
        <v>54</v>
      </c>
      <c r="H120" t="s">
        <v>15</v>
      </c>
      <c r="I120">
        <v>3</v>
      </c>
      <c r="J120">
        <v>297</v>
      </c>
      <c r="K120">
        <v>891</v>
      </c>
      <c r="L1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1" spans="1:12" x14ac:dyDescent="0.3">
      <c r="A121">
        <v>120</v>
      </c>
      <c r="B121" s="1">
        <v>45146</v>
      </c>
      <c r="C121" s="1" t="str">
        <f>TEXT(RetailStore[[#This Row],[Date]],"mmm")</f>
        <v>Aug</v>
      </c>
      <c r="D121">
        <v>2023</v>
      </c>
      <c r="E121" t="s">
        <v>134</v>
      </c>
      <c r="F121" t="s">
        <v>18</v>
      </c>
      <c r="G121">
        <v>22</v>
      </c>
      <c r="H121" t="s">
        <v>12</v>
      </c>
      <c r="I121">
        <v>3</v>
      </c>
      <c r="J121">
        <v>31</v>
      </c>
      <c r="K121">
        <v>93</v>
      </c>
      <c r="L1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2" spans="1:12" x14ac:dyDescent="0.3">
      <c r="A122">
        <v>121</v>
      </c>
      <c r="B122" s="1">
        <v>45142</v>
      </c>
      <c r="C122" s="1" t="str">
        <f>TEXT(RetailStore[[#This Row],[Date]],"mmm")</f>
        <v>Aug</v>
      </c>
      <c r="D122">
        <v>2023</v>
      </c>
      <c r="E122" t="s">
        <v>135</v>
      </c>
      <c r="F122" t="s">
        <v>18</v>
      </c>
      <c r="G122">
        <v>24</v>
      </c>
      <c r="H122" t="s">
        <v>20</v>
      </c>
      <c r="I122">
        <v>3</v>
      </c>
      <c r="J122">
        <v>350</v>
      </c>
      <c r="K122">
        <v>1050</v>
      </c>
      <c r="L1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3" spans="1:12" x14ac:dyDescent="0.3">
      <c r="A123">
        <v>122</v>
      </c>
      <c r="B123" s="1">
        <v>45162</v>
      </c>
      <c r="C123" s="1" t="str">
        <f>TEXT(RetailStore[[#This Row],[Date]],"mmm")</f>
        <v>Aug</v>
      </c>
      <c r="D123">
        <v>2023</v>
      </c>
      <c r="E123" t="s">
        <v>136</v>
      </c>
      <c r="F123" t="s">
        <v>11</v>
      </c>
      <c r="G123">
        <v>45</v>
      </c>
      <c r="H123" t="s">
        <v>15</v>
      </c>
      <c r="I123">
        <v>3</v>
      </c>
      <c r="J123">
        <v>340</v>
      </c>
      <c r="K123">
        <v>1020</v>
      </c>
      <c r="L1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4" spans="1:12" x14ac:dyDescent="0.3">
      <c r="A124">
        <v>123</v>
      </c>
      <c r="B124" s="1">
        <v>45202</v>
      </c>
      <c r="C124" s="1" t="str">
        <f>TEXT(RetailStore[[#This Row],[Date]],"mmm")</f>
        <v>Oct</v>
      </c>
      <c r="D124">
        <v>2023</v>
      </c>
      <c r="E124" t="s">
        <v>137</v>
      </c>
      <c r="F124" t="s">
        <v>18</v>
      </c>
      <c r="G124">
        <v>47</v>
      </c>
      <c r="H124" t="s">
        <v>20</v>
      </c>
      <c r="I124">
        <v>3</v>
      </c>
      <c r="J124">
        <v>190</v>
      </c>
      <c r="K124">
        <v>570</v>
      </c>
      <c r="L1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" spans="1:12" x14ac:dyDescent="0.3">
      <c r="A125">
        <v>124</v>
      </c>
      <c r="B125" s="1">
        <v>45052</v>
      </c>
      <c r="C125" s="1" t="str">
        <f>TEXT(RetailStore[[#This Row],[Date]],"mmm")</f>
        <v>May</v>
      </c>
      <c r="D125">
        <v>2023</v>
      </c>
      <c r="E125" t="s">
        <v>138</v>
      </c>
      <c r="F125" t="s">
        <v>11</v>
      </c>
      <c r="G125">
        <v>35</v>
      </c>
      <c r="H125" t="s">
        <v>20</v>
      </c>
      <c r="I125">
        <v>2</v>
      </c>
      <c r="J125">
        <v>409</v>
      </c>
      <c r="K125">
        <v>818</v>
      </c>
      <c r="L1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6" spans="1:12" x14ac:dyDescent="0.3">
      <c r="A126">
        <v>125</v>
      </c>
      <c r="B126" s="1">
        <v>45164</v>
      </c>
      <c r="C126" s="1" t="str">
        <f>TEXT(RetailStore[[#This Row],[Date]],"mmm")</f>
        <v>Aug</v>
      </c>
      <c r="D126">
        <v>2023</v>
      </c>
      <c r="E126" t="s">
        <v>139</v>
      </c>
      <c r="F126" t="s">
        <v>18</v>
      </c>
      <c r="G126">
        <v>39</v>
      </c>
      <c r="H126" t="s">
        <v>15</v>
      </c>
      <c r="I126">
        <v>4</v>
      </c>
      <c r="J126">
        <v>460</v>
      </c>
      <c r="K126">
        <v>1840</v>
      </c>
      <c r="L1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7" spans="1:12" x14ac:dyDescent="0.3">
      <c r="A127">
        <v>126</v>
      </c>
      <c r="B127" s="1">
        <v>45093</v>
      </c>
      <c r="C127" s="1" t="str">
        <f>TEXT(RetailStore[[#This Row],[Date]],"mmm")</f>
        <v>Jun</v>
      </c>
      <c r="D127">
        <v>2023</v>
      </c>
      <c r="E127" t="s">
        <v>140</v>
      </c>
      <c r="F127" t="s">
        <v>11</v>
      </c>
      <c r="G127">
        <v>49</v>
      </c>
      <c r="H127" t="s">
        <v>15</v>
      </c>
      <c r="I127">
        <v>3</v>
      </c>
      <c r="J127">
        <v>433</v>
      </c>
      <c r="K127">
        <v>1299</v>
      </c>
      <c r="L1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" spans="1:12" x14ac:dyDescent="0.3">
      <c r="A128">
        <v>127</v>
      </c>
      <c r="B128" s="1">
        <v>45059</v>
      </c>
      <c r="C128" s="1" t="str">
        <f>TEXT(RetailStore[[#This Row],[Date]],"mmm")</f>
        <v>May</v>
      </c>
      <c r="D128">
        <v>2023</v>
      </c>
      <c r="E128" t="s">
        <v>141</v>
      </c>
      <c r="F128" t="s">
        <v>18</v>
      </c>
      <c r="G128">
        <v>35</v>
      </c>
      <c r="H128" t="s">
        <v>12</v>
      </c>
      <c r="I128">
        <v>3</v>
      </c>
      <c r="J128">
        <v>309</v>
      </c>
      <c r="K128">
        <v>927</v>
      </c>
      <c r="L1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9" spans="1:12" x14ac:dyDescent="0.3">
      <c r="A129">
        <v>128</v>
      </c>
      <c r="B129" s="1">
        <v>44932</v>
      </c>
      <c r="C129" s="1" t="str">
        <f>TEXT(RetailStore[[#This Row],[Date]],"mmm")</f>
        <v>Jan</v>
      </c>
      <c r="D129">
        <v>2023</v>
      </c>
      <c r="E129" t="s">
        <v>142</v>
      </c>
      <c r="F129" t="s">
        <v>11</v>
      </c>
      <c r="G129">
        <v>23</v>
      </c>
      <c r="H129" t="s">
        <v>15</v>
      </c>
      <c r="I129">
        <v>4</v>
      </c>
      <c r="J129">
        <v>275</v>
      </c>
      <c r="K129">
        <v>1100</v>
      </c>
      <c r="L1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0" spans="1:12" x14ac:dyDescent="0.3">
      <c r="A130">
        <v>129</v>
      </c>
      <c r="B130" s="1">
        <v>45211</v>
      </c>
      <c r="C130" s="1" t="str">
        <f>TEXT(RetailStore[[#This Row],[Date]],"mmm")</f>
        <v>Oct</v>
      </c>
      <c r="D130">
        <v>2023</v>
      </c>
      <c r="E130" t="s">
        <v>143</v>
      </c>
      <c r="F130" t="s">
        <v>11</v>
      </c>
      <c r="G130">
        <v>62</v>
      </c>
      <c r="H130" t="s">
        <v>20</v>
      </c>
      <c r="I130">
        <v>4</v>
      </c>
      <c r="J130">
        <v>254</v>
      </c>
      <c r="K130">
        <v>1016</v>
      </c>
      <c r="L1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1" spans="1:12" x14ac:dyDescent="0.3">
      <c r="A131">
        <v>130</v>
      </c>
      <c r="B131" s="1">
        <v>44935</v>
      </c>
      <c r="C131" s="1" t="str">
        <f>TEXT(RetailStore[[#This Row],[Date]],"mmm")</f>
        <v>Jan</v>
      </c>
      <c r="D131">
        <v>2023</v>
      </c>
      <c r="E131" t="s">
        <v>144</v>
      </c>
      <c r="F131" t="s">
        <v>11</v>
      </c>
      <c r="G131">
        <v>36</v>
      </c>
      <c r="H131" t="s">
        <v>15</v>
      </c>
      <c r="I131">
        <v>4</v>
      </c>
      <c r="J131">
        <v>379</v>
      </c>
      <c r="K131">
        <v>1516</v>
      </c>
      <c r="L1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2" spans="1:12" x14ac:dyDescent="0.3">
      <c r="A132">
        <v>131</v>
      </c>
      <c r="B132" s="1">
        <v>45051</v>
      </c>
      <c r="C132" s="1" t="str">
        <f>TEXT(RetailStore[[#This Row],[Date]],"mmm")</f>
        <v>May</v>
      </c>
      <c r="D132">
        <v>2023</v>
      </c>
      <c r="E132" t="s">
        <v>145</v>
      </c>
      <c r="F132" t="s">
        <v>18</v>
      </c>
      <c r="G132">
        <v>60</v>
      </c>
      <c r="H132" t="s">
        <v>12</v>
      </c>
      <c r="I132">
        <v>3</v>
      </c>
      <c r="J132">
        <v>267</v>
      </c>
      <c r="K132">
        <v>801</v>
      </c>
      <c r="L1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3" spans="1:12" x14ac:dyDescent="0.3">
      <c r="A133">
        <v>132</v>
      </c>
      <c r="B133" s="1">
        <v>45210</v>
      </c>
      <c r="C133" s="1" t="str">
        <f>TEXT(RetailStore[[#This Row],[Date]],"mmm")</f>
        <v>Oct</v>
      </c>
      <c r="D133">
        <v>2023</v>
      </c>
      <c r="E133" t="s">
        <v>146</v>
      </c>
      <c r="F133" t="s">
        <v>18</v>
      </c>
      <c r="G133">
        <v>45</v>
      </c>
      <c r="H133" t="s">
        <v>12</v>
      </c>
      <c r="I133">
        <v>3</v>
      </c>
      <c r="J133">
        <v>205</v>
      </c>
      <c r="K133">
        <v>615</v>
      </c>
      <c r="L1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4" spans="1:12" x14ac:dyDescent="0.3">
      <c r="A134">
        <v>133</v>
      </c>
      <c r="B134" s="1">
        <v>45286</v>
      </c>
      <c r="C134" s="1" t="str">
        <f>TEXT(RetailStore[[#This Row],[Date]],"mmm")</f>
        <v>Dec</v>
      </c>
      <c r="D134">
        <v>2023</v>
      </c>
      <c r="E134" t="s">
        <v>147</v>
      </c>
      <c r="F134" t="s">
        <v>18</v>
      </c>
      <c r="G134">
        <v>35</v>
      </c>
      <c r="H134" t="s">
        <v>20</v>
      </c>
      <c r="I134">
        <v>3</v>
      </c>
      <c r="J134">
        <v>143</v>
      </c>
      <c r="K134">
        <v>429</v>
      </c>
      <c r="L1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5" spans="1:12" x14ac:dyDescent="0.3">
      <c r="A135">
        <v>134</v>
      </c>
      <c r="B135" s="1">
        <v>44988</v>
      </c>
      <c r="C135" s="1" t="str">
        <f>TEXT(RetailStore[[#This Row],[Date]],"mmm")</f>
        <v>Mar</v>
      </c>
      <c r="D135">
        <v>2023</v>
      </c>
      <c r="E135" t="s">
        <v>148</v>
      </c>
      <c r="F135" t="s">
        <v>11</v>
      </c>
      <c r="G135">
        <v>38</v>
      </c>
      <c r="H135" t="s">
        <v>15</v>
      </c>
      <c r="I135">
        <v>2</v>
      </c>
      <c r="J135">
        <v>123</v>
      </c>
      <c r="K135">
        <v>246</v>
      </c>
      <c r="L1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6" spans="1:12" x14ac:dyDescent="0.3">
      <c r="A136">
        <v>135</v>
      </c>
      <c r="B136" s="1">
        <v>45037</v>
      </c>
      <c r="C136" s="1" t="str">
        <f>TEXT(RetailStore[[#This Row],[Date]],"mmm")</f>
        <v>Apr</v>
      </c>
      <c r="D136">
        <v>2023</v>
      </c>
      <c r="E136" t="s">
        <v>149</v>
      </c>
      <c r="F136" t="s">
        <v>18</v>
      </c>
      <c r="G136">
        <v>35</v>
      </c>
      <c r="H136" t="s">
        <v>12</v>
      </c>
      <c r="I136">
        <v>3</v>
      </c>
      <c r="J136">
        <v>76</v>
      </c>
      <c r="K136">
        <v>228</v>
      </c>
      <c r="L1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7" spans="1:12" x14ac:dyDescent="0.3">
      <c r="A137">
        <v>136</v>
      </c>
      <c r="B137" s="1">
        <v>45026</v>
      </c>
      <c r="C137" s="1" t="str">
        <f>TEXT(RetailStore[[#This Row],[Date]],"mmm")</f>
        <v>Apr</v>
      </c>
      <c r="D137">
        <v>2023</v>
      </c>
      <c r="E137" t="s">
        <v>150</v>
      </c>
      <c r="F137" t="s">
        <v>18</v>
      </c>
      <c r="G137">
        <v>32</v>
      </c>
      <c r="H137" t="s">
        <v>20</v>
      </c>
      <c r="I137">
        <v>2</v>
      </c>
      <c r="J137">
        <v>179</v>
      </c>
      <c r="K137">
        <v>358</v>
      </c>
      <c r="L1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8" spans="1:12" x14ac:dyDescent="0.3">
      <c r="A138">
        <v>137</v>
      </c>
      <c r="B138" s="1">
        <v>44934</v>
      </c>
      <c r="C138" s="1" t="str">
        <f>TEXT(RetailStore[[#This Row],[Date]],"mmm")</f>
        <v>Jan</v>
      </c>
      <c r="D138">
        <v>2023</v>
      </c>
      <c r="E138" t="s">
        <v>151</v>
      </c>
      <c r="F138" t="s">
        <v>11</v>
      </c>
      <c r="G138">
        <v>35</v>
      </c>
      <c r="H138" t="s">
        <v>15</v>
      </c>
      <c r="I138">
        <v>1</v>
      </c>
      <c r="J138">
        <v>308</v>
      </c>
      <c r="K138">
        <v>308</v>
      </c>
      <c r="L1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9" spans="1:12" x14ac:dyDescent="0.3">
      <c r="A139">
        <v>138</v>
      </c>
      <c r="B139" s="1">
        <v>45076</v>
      </c>
      <c r="C139" s="1" t="str">
        <f>TEXT(RetailStore[[#This Row],[Date]],"mmm")</f>
        <v>May</v>
      </c>
      <c r="D139">
        <v>2023</v>
      </c>
      <c r="E139" t="s">
        <v>152</v>
      </c>
      <c r="F139" t="s">
        <v>11</v>
      </c>
      <c r="G139">
        <v>58</v>
      </c>
      <c r="H139" t="s">
        <v>20</v>
      </c>
      <c r="I139">
        <v>1</v>
      </c>
      <c r="J139">
        <v>471</v>
      </c>
      <c r="K139">
        <v>471</v>
      </c>
      <c r="L1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0" spans="1:12" x14ac:dyDescent="0.3">
      <c r="A140">
        <v>139</v>
      </c>
      <c r="B140" s="1">
        <v>44933</v>
      </c>
      <c r="C140" s="1" t="str">
        <f>TEXT(RetailStore[[#This Row],[Date]],"mmm")</f>
        <v>Jan</v>
      </c>
      <c r="D140">
        <v>2023</v>
      </c>
      <c r="E140" t="s">
        <v>153</v>
      </c>
      <c r="F140" t="s">
        <v>18</v>
      </c>
      <c r="G140">
        <v>48</v>
      </c>
      <c r="H140" t="s">
        <v>20</v>
      </c>
      <c r="I140">
        <v>4</v>
      </c>
      <c r="J140">
        <v>199</v>
      </c>
      <c r="K140">
        <v>796</v>
      </c>
      <c r="L1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1" spans="1:12" x14ac:dyDescent="0.3">
      <c r="A141">
        <v>140</v>
      </c>
      <c r="B141" s="1">
        <v>45021</v>
      </c>
      <c r="C141" s="1" t="str">
        <f>TEXT(RetailStore[[#This Row],[Date]],"mmm")</f>
        <v>Apr</v>
      </c>
      <c r="D141">
        <v>2023</v>
      </c>
      <c r="E141" t="s">
        <v>154</v>
      </c>
      <c r="F141" t="s">
        <v>11</v>
      </c>
      <c r="G141">
        <v>34</v>
      </c>
      <c r="H141" t="s">
        <v>20</v>
      </c>
      <c r="I141">
        <v>1</v>
      </c>
      <c r="J141">
        <v>445</v>
      </c>
      <c r="K141">
        <v>445</v>
      </c>
      <c r="L1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" spans="1:12" x14ac:dyDescent="0.3">
      <c r="A142">
        <v>141</v>
      </c>
      <c r="B142" s="1">
        <v>44960</v>
      </c>
      <c r="C142" s="1" t="str">
        <f>TEXT(RetailStore[[#This Row],[Date]],"mmm")</f>
        <v>Feb</v>
      </c>
      <c r="D142">
        <v>2023</v>
      </c>
      <c r="E142" t="s">
        <v>155</v>
      </c>
      <c r="F142" t="s">
        <v>18</v>
      </c>
      <c r="G142">
        <v>49</v>
      </c>
      <c r="H142" t="s">
        <v>15</v>
      </c>
      <c r="I142">
        <v>1</v>
      </c>
      <c r="J142">
        <v>102</v>
      </c>
      <c r="K142">
        <v>102</v>
      </c>
      <c r="L1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3" spans="1:12" x14ac:dyDescent="0.3">
      <c r="A143">
        <v>142</v>
      </c>
      <c r="B143" s="1">
        <v>45003</v>
      </c>
      <c r="C143" s="1" t="str">
        <f>TEXT(RetailStore[[#This Row],[Date]],"mmm")</f>
        <v>Mar</v>
      </c>
      <c r="D143">
        <v>2023</v>
      </c>
      <c r="E143" t="s">
        <v>156</v>
      </c>
      <c r="F143" t="s">
        <v>18</v>
      </c>
      <c r="G143">
        <v>23</v>
      </c>
      <c r="H143" t="s">
        <v>15</v>
      </c>
      <c r="I143">
        <v>1</v>
      </c>
      <c r="J143">
        <v>310</v>
      </c>
      <c r="K143">
        <v>310</v>
      </c>
      <c r="L1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4" spans="1:12" x14ac:dyDescent="0.3">
      <c r="A144">
        <v>143</v>
      </c>
      <c r="B144" s="1">
        <v>45140</v>
      </c>
      <c r="C144" s="1" t="str">
        <f>TEXT(RetailStore[[#This Row],[Date]],"mmm")</f>
        <v>Aug</v>
      </c>
      <c r="D144">
        <v>2023</v>
      </c>
      <c r="E144" t="s">
        <v>157</v>
      </c>
      <c r="F144" t="s">
        <v>11</v>
      </c>
      <c r="G144">
        <v>51</v>
      </c>
      <c r="H144" t="s">
        <v>20</v>
      </c>
      <c r="I144">
        <v>4</v>
      </c>
      <c r="J144">
        <v>490</v>
      </c>
      <c r="K144">
        <v>1960</v>
      </c>
      <c r="L1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5" spans="1:12" x14ac:dyDescent="0.3">
      <c r="A145">
        <v>144</v>
      </c>
      <c r="B145" s="1">
        <v>45153</v>
      </c>
      <c r="C145" s="1" t="str">
        <f>TEXT(RetailStore[[#This Row],[Date]],"mmm")</f>
        <v>Aug</v>
      </c>
      <c r="D145">
        <v>2023</v>
      </c>
      <c r="E145" t="s">
        <v>158</v>
      </c>
      <c r="F145" t="s">
        <v>18</v>
      </c>
      <c r="G145">
        <v>55</v>
      </c>
      <c r="H145" t="s">
        <v>20</v>
      </c>
      <c r="I145">
        <v>3</v>
      </c>
      <c r="J145">
        <v>316</v>
      </c>
      <c r="K145">
        <v>948</v>
      </c>
      <c r="L1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6" spans="1:12" x14ac:dyDescent="0.3">
      <c r="A146">
        <v>145</v>
      </c>
      <c r="B146" s="1">
        <v>45244</v>
      </c>
      <c r="C146" s="1" t="str">
        <f>TEXT(RetailStore[[#This Row],[Date]],"mmm")</f>
        <v>Nov</v>
      </c>
      <c r="D146">
        <v>2023</v>
      </c>
      <c r="E146" t="s">
        <v>159</v>
      </c>
      <c r="F146" t="s">
        <v>11</v>
      </c>
      <c r="G146">
        <v>57</v>
      </c>
      <c r="H146" t="s">
        <v>12</v>
      </c>
      <c r="I146">
        <v>1</v>
      </c>
      <c r="J146">
        <v>415</v>
      </c>
      <c r="K146">
        <v>415</v>
      </c>
      <c r="L1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7" spans="1:12" x14ac:dyDescent="0.3">
      <c r="A147">
        <v>146</v>
      </c>
      <c r="B147" s="1">
        <v>45033</v>
      </c>
      <c r="C147" s="1" t="str">
        <f>TEXT(RetailStore[[#This Row],[Date]],"mmm")</f>
        <v>Apr</v>
      </c>
      <c r="D147">
        <v>2023</v>
      </c>
      <c r="E147" t="s">
        <v>160</v>
      </c>
      <c r="F147" t="s">
        <v>11</v>
      </c>
      <c r="G147">
        <v>34</v>
      </c>
      <c r="H147" t="s">
        <v>12</v>
      </c>
      <c r="I147">
        <v>1</v>
      </c>
      <c r="J147">
        <v>105</v>
      </c>
      <c r="K147">
        <v>105</v>
      </c>
      <c r="L1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8" spans="1:12" x14ac:dyDescent="0.3">
      <c r="A148">
        <v>147</v>
      </c>
      <c r="B148" s="1">
        <v>45049</v>
      </c>
      <c r="C148" s="1" t="str">
        <f>TEXT(RetailStore[[#This Row],[Date]],"mmm")</f>
        <v>May</v>
      </c>
      <c r="D148">
        <v>2023</v>
      </c>
      <c r="E148" t="s">
        <v>161</v>
      </c>
      <c r="F148" t="s">
        <v>11</v>
      </c>
      <c r="G148">
        <v>53</v>
      </c>
      <c r="H148" t="s">
        <v>15</v>
      </c>
      <c r="I148">
        <v>2</v>
      </c>
      <c r="J148">
        <v>26</v>
      </c>
      <c r="K148">
        <v>52</v>
      </c>
      <c r="L1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9" spans="1:12" x14ac:dyDescent="0.3">
      <c r="A149">
        <v>148</v>
      </c>
      <c r="B149" s="1">
        <v>45136</v>
      </c>
      <c r="C149" s="1" t="str">
        <f>TEXT(RetailStore[[#This Row],[Date]],"mmm")</f>
        <v>Jul</v>
      </c>
      <c r="D149">
        <v>2023</v>
      </c>
      <c r="E149" t="s">
        <v>162</v>
      </c>
      <c r="F149" t="s">
        <v>18</v>
      </c>
      <c r="G149">
        <v>62</v>
      </c>
      <c r="H149" t="s">
        <v>12</v>
      </c>
      <c r="I149">
        <v>4</v>
      </c>
      <c r="J149">
        <v>174</v>
      </c>
      <c r="K149">
        <v>696</v>
      </c>
      <c r="L1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0" spans="1:12" x14ac:dyDescent="0.3">
      <c r="A150">
        <v>149</v>
      </c>
      <c r="B150" s="1">
        <v>44943</v>
      </c>
      <c r="C150" s="1" t="str">
        <f>TEXT(RetailStore[[#This Row],[Date]],"mmm")</f>
        <v>Jan</v>
      </c>
      <c r="D150">
        <v>2023</v>
      </c>
      <c r="E150" t="s">
        <v>163</v>
      </c>
      <c r="F150" t="s">
        <v>11</v>
      </c>
      <c r="G150">
        <v>36</v>
      </c>
      <c r="H150" t="s">
        <v>12</v>
      </c>
      <c r="I150">
        <v>3</v>
      </c>
      <c r="J150">
        <v>384</v>
      </c>
      <c r="K150">
        <v>1152</v>
      </c>
      <c r="L1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1" spans="1:12" x14ac:dyDescent="0.3">
      <c r="A151">
        <v>150</v>
      </c>
      <c r="B151" s="1">
        <v>45159</v>
      </c>
      <c r="C151" s="1" t="str">
        <f>TEXT(RetailStore[[#This Row],[Date]],"mmm")</f>
        <v>Aug</v>
      </c>
      <c r="D151">
        <v>2023</v>
      </c>
      <c r="E151" t="s">
        <v>164</v>
      </c>
      <c r="F151" t="s">
        <v>11</v>
      </c>
      <c r="G151">
        <v>61</v>
      </c>
      <c r="H151" t="s">
        <v>15</v>
      </c>
      <c r="I151">
        <v>3</v>
      </c>
      <c r="J151">
        <v>428</v>
      </c>
      <c r="K151">
        <v>1284</v>
      </c>
      <c r="L1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2" spans="1:12" x14ac:dyDescent="0.3">
      <c r="A152">
        <v>151</v>
      </c>
      <c r="B152" s="1">
        <v>45247</v>
      </c>
      <c r="C152" s="1" t="str">
        <f>TEXT(RetailStore[[#This Row],[Date]],"mmm")</f>
        <v>Nov</v>
      </c>
      <c r="D152">
        <v>2023</v>
      </c>
      <c r="E152" t="s">
        <v>165</v>
      </c>
      <c r="F152" t="s">
        <v>11</v>
      </c>
      <c r="G152">
        <v>45</v>
      </c>
      <c r="H152" t="s">
        <v>15</v>
      </c>
      <c r="I152">
        <v>2</v>
      </c>
      <c r="J152">
        <v>356</v>
      </c>
      <c r="K152">
        <v>712</v>
      </c>
      <c r="L1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3" spans="1:12" x14ac:dyDescent="0.3">
      <c r="A153">
        <v>152</v>
      </c>
      <c r="B153" s="1">
        <v>45003</v>
      </c>
      <c r="C153" s="1" t="str">
        <f>TEXT(RetailStore[[#This Row],[Date]],"mmm")</f>
        <v>Mar</v>
      </c>
      <c r="D153">
        <v>2023</v>
      </c>
      <c r="E153" t="s">
        <v>166</v>
      </c>
      <c r="F153" t="s">
        <v>18</v>
      </c>
      <c r="G153">
        <v>27</v>
      </c>
      <c r="H153" t="s">
        <v>15</v>
      </c>
      <c r="I153">
        <v>1</v>
      </c>
      <c r="J153">
        <v>109</v>
      </c>
      <c r="K153">
        <v>109</v>
      </c>
      <c r="L1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4" spans="1:12" x14ac:dyDescent="0.3">
      <c r="A154">
        <v>153</v>
      </c>
      <c r="B154" s="1">
        <v>45084</v>
      </c>
      <c r="C154" s="1" t="str">
        <f>TEXT(RetailStore[[#This Row],[Date]],"mmm")</f>
        <v>Jun</v>
      </c>
      <c r="D154">
        <v>2023</v>
      </c>
      <c r="E154" t="s">
        <v>167</v>
      </c>
      <c r="F154" t="s">
        <v>18</v>
      </c>
      <c r="G154">
        <v>46</v>
      </c>
      <c r="H154" t="s">
        <v>15</v>
      </c>
      <c r="I154">
        <v>4</v>
      </c>
      <c r="J154">
        <v>377</v>
      </c>
      <c r="K154">
        <v>1508</v>
      </c>
      <c r="L1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5" spans="1:12" x14ac:dyDescent="0.3">
      <c r="A155">
        <v>154</v>
      </c>
      <c r="B155" s="1">
        <v>45082</v>
      </c>
      <c r="C155" s="1" t="str">
        <f>TEXT(RetailStore[[#This Row],[Date]],"mmm")</f>
        <v>Jun</v>
      </c>
      <c r="D155">
        <v>2023</v>
      </c>
      <c r="E155" t="s">
        <v>168</v>
      </c>
      <c r="F155" t="s">
        <v>18</v>
      </c>
      <c r="G155">
        <v>35</v>
      </c>
      <c r="H155" t="s">
        <v>12</v>
      </c>
      <c r="I155">
        <v>4</v>
      </c>
      <c r="J155">
        <v>249</v>
      </c>
      <c r="K155">
        <v>996</v>
      </c>
      <c r="L1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6" spans="1:12" x14ac:dyDescent="0.3">
      <c r="A156">
        <v>155</v>
      </c>
      <c r="B156" s="1">
        <v>44968</v>
      </c>
      <c r="C156" s="1" t="str">
        <f>TEXT(RetailStore[[#This Row],[Date]],"mmm")</f>
        <v>Feb</v>
      </c>
      <c r="D156">
        <v>2023</v>
      </c>
      <c r="E156" t="s">
        <v>169</v>
      </c>
      <c r="F156" t="s">
        <v>11</v>
      </c>
      <c r="G156">
        <v>45</v>
      </c>
      <c r="H156" t="s">
        <v>12</v>
      </c>
      <c r="I156">
        <v>3</v>
      </c>
      <c r="J156">
        <v>334</v>
      </c>
      <c r="K156">
        <v>1002</v>
      </c>
      <c r="L1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7" spans="1:12" x14ac:dyDescent="0.3">
      <c r="A157">
        <v>156</v>
      </c>
      <c r="B157" s="1">
        <v>45055</v>
      </c>
      <c r="C157" s="1" t="str">
        <f>TEXT(RetailStore[[#This Row],[Date]],"mmm")</f>
        <v>May</v>
      </c>
      <c r="D157">
        <v>2023</v>
      </c>
      <c r="E157" t="s">
        <v>170</v>
      </c>
      <c r="F157" t="s">
        <v>11</v>
      </c>
      <c r="G157">
        <v>23</v>
      </c>
      <c r="H157" t="s">
        <v>15</v>
      </c>
      <c r="I157">
        <v>1</v>
      </c>
      <c r="J157">
        <v>416</v>
      </c>
      <c r="K157">
        <v>416</v>
      </c>
      <c r="L1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8" spans="1:12" x14ac:dyDescent="0.3">
      <c r="A158">
        <v>157</v>
      </c>
      <c r="B158" s="1">
        <v>45271</v>
      </c>
      <c r="C158" s="1" t="str">
        <f>TEXT(RetailStore[[#This Row],[Date]],"mmm")</f>
        <v>Dec</v>
      </c>
      <c r="D158">
        <v>2023</v>
      </c>
      <c r="E158" t="s">
        <v>171</v>
      </c>
      <c r="F158" t="s">
        <v>18</v>
      </c>
      <c r="G158">
        <v>54</v>
      </c>
      <c r="H158" t="s">
        <v>15</v>
      </c>
      <c r="I158">
        <v>2</v>
      </c>
      <c r="J158">
        <v>265</v>
      </c>
      <c r="K158">
        <v>530</v>
      </c>
      <c r="L1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9" spans="1:12" x14ac:dyDescent="0.3">
      <c r="A159">
        <v>158</v>
      </c>
      <c r="B159" s="1">
        <v>45192</v>
      </c>
      <c r="C159" s="1" t="str">
        <f>TEXT(RetailStore[[#This Row],[Date]],"mmm")</f>
        <v>Sep</v>
      </c>
      <c r="D159">
        <v>2023</v>
      </c>
      <c r="E159" t="s">
        <v>172</v>
      </c>
      <c r="F159" t="s">
        <v>18</v>
      </c>
      <c r="G159">
        <v>35</v>
      </c>
      <c r="H159" t="s">
        <v>15</v>
      </c>
      <c r="I159">
        <v>4</v>
      </c>
      <c r="J159">
        <v>350</v>
      </c>
      <c r="K159">
        <v>1400</v>
      </c>
      <c r="L1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0" spans="1:12" x14ac:dyDescent="0.3">
      <c r="A160">
        <v>159</v>
      </c>
      <c r="B160" s="1">
        <v>45178</v>
      </c>
      <c r="C160" s="1" t="str">
        <f>TEXT(RetailStore[[#This Row],[Date]],"mmm")</f>
        <v>Sep</v>
      </c>
      <c r="D160">
        <v>2023</v>
      </c>
      <c r="E160" t="s">
        <v>173</v>
      </c>
      <c r="F160" t="s">
        <v>11</v>
      </c>
      <c r="G160">
        <v>48</v>
      </c>
      <c r="H160" t="s">
        <v>20</v>
      </c>
      <c r="I160">
        <v>4</v>
      </c>
      <c r="J160">
        <v>195</v>
      </c>
      <c r="K160">
        <v>780</v>
      </c>
      <c r="L1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1" spans="1:12" x14ac:dyDescent="0.3">
      <c r="A161">
        <v>160</v>
      </c>
      <c r="B161" s="1">
        <v>45091</v>
      </c>
      <c r="C161" s="1" t="str">
        <f>TEXT(RetailStore[[#This Row],[Date]],"mmm")</f>
        <v>Jun</v>
      </c>
      <c r="D161">
        <v>2023</v>
      </c>
      <c r="E161" t="s">
        <v>174</v>
      </c>
      <c r="F161" t="s">
        <v>11</v>
      </c>
      <c r="G161">
        <v>28</v>
      </c>
      <c r="H161" t="s">
        <v>20</v>
      </c>
      <c r="I161">
        <v>4</v>
      </c>
      <c r="J161">
        <v>380</v>
      </c>
      <c r="K161">
        <v>1520</v>
      </c>
      <c r="L1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2" spans="1:12" x14ac:dyDescent="0.3">
      <c r="A162">
        <v>161</v>
      </c>
      <c r="B162" s="1">
        <v>45180</v>
      </c>
      <c r="C162" s="1" t="str">
        <f>TEXT(RetailStore[[#This Row],[Date]],"mmm")</f>
        <v>Sep</v>
      </c>
      <c r="D162">
        <v>2023</v>
      </c>
      <c r="E162" t="s">
        <v>175</v>
      </c>
      <c r="F162" t="s">
        <v>18</v>
      </c>
      <c r="G162">
        <v>60</v>
      </c>
      <c r="H162" t="s">
        <v>20</v>
      </c>
      <c r="I162">
        <v>1</v>
      </c>
      <c r="J162">
        <v>257</v>
      </c>
      <c r="K162">
        <v>257</v>
      </c>
      <c r="L1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3" spans="1:12" x14ac:dyDescent="0.3">
      <c r="A163">
        <v>162</v>
      </c>
      <c r="B163" s="1">
        <v>44972</v>
      </c>
      <c r="C163" s="1" t="str">
        <f>TEXT(RetailStore[[#This Row],[Date]],"mmm")</f>
        <v>Feb</v>
      </c>
      <c r="D163">
        <v>2023</v>
      </c>
      <c r="E163" t="s">
        <v>176</v>
      </c>
      <c r="F163" t="s">
        <v>18</v>
      </c>
      <c r="G163">
        <v>34</v>
      </c>
      <c r="H163" t="s">
        <v>20</v>
      </c>
      <c r="I163">
        <v>1</v>
      </c>
      <c r="J163">
        <v>420</v>
      </c>
      <c r="K163">
        <v>420</v>
      </c>
      <c r="L1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4" spans="1:12" x14ac:dyDescent="0.3">
      <c r="A164">
        <v>163</v>
      </c>
      <c r="B164" s="1">
        <v>45133</v>
      </c>
      <c r="C164" s="1" t="str">
        <f>TEXT(RetailStore[[#This Row],[Date]],"mmm")</f>
        <v>Jul</v>
      </c>
      <c r="D164">
        <v>2023</v>
      </c>
      <c r="E164" t="s">
        <v>177</v>
      </c>
      <c r="F164" t="s">
        <v>11</v>
      </c>
      <c r="G164">
        <v>60</v>
      </c>
      <c r="H164" t="s">
        <v>12</v>
      </c>
      <c r="I164">
        <v>4</v>
      </c>
      <c r="J164">
        <v>236</v>
      </c>
      <c r="K164">
        <v>944</v>
      </c>
      <c r="L1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5" spans="1:12" x14ac:dyDescent="0.3">
      <c r="A165">
        <v>164</v>
      </c>
      <c r="B165" s="1">
        <v>44954</v>
      </c>
      <c r="C165" s="1" t="str">
        <f>TEXT(RetailStore[[#This Row],[Date]],"mmm")</f>
        <v>Jan</v>
      </c>
      <c r="D165">
        <v>2023</v>
      </c>
      <c r="E165" t="s">
        <v>178</v>
      </c>
      <c r="F165" t="s">
        <v>11</v>
      </c>
      <c r="G165">
        <v>51</v>
      </c>
      <c r="H165" t="s">
        <v>20</v>
      </c>
      <c r="I165">
        <v>4</v>
      </c>
      <c r="J165">
        <v>345</v>
      </c>
      <c r="K165">
        <v>1380</v>
      </c>
      <c r="L1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6" spans="1:12" x14ac:dyDescent="0.3">
      <c r="A166">
        <v>165</v>
      </c>
      <c r="B166" s="1">
        <v>45153</v>
      </c>
      <c r="C166" s="1" t="str">
        <f>TEXT(RetailStore[[#This Row],[Date]],"mmm")</f>
        <v>Aug</v>
      </c>
      <c r="D166">
        <v>2023</v>
      </c>
      <c r="E166" t="s">
        <v>179</v>
      </c>
      <c r="F166" t="s">
        <v>11</v>
      </c>
      <c r="G166">
        <v>31</v>
      </c>
      <c r="H166" t="s">
        <v>20</v>
      </c>
      <c r="I166">
        <v>2</v>
      </c>
      <c r="J166">
        <v>499</v>
      </c>
      <c r="K166">
        <v>998</v>
      </c>
      <c r="L1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7" spans="1:12" x14ac:dyDescent="0.3">
      <c r="A167">
        <v>166</v>
      </c>
      <c r="B167" s="1">
        <v>45074</v>
      </c>
      <c r="C167" s="1" t="str">
        <f>TEXT(RetailStore[[#This Row],[Date]],"mmm")</f>
        <v>May</v>
      </c>
      <c r="D167">
        <v>2023</v>
      </c>
      <c r="E167" t="s">
        <v>180</v>
      </c>
      <c r="F167" t="s">
        <v>18</v>
      </c>
      <c r="G167">
        <v>62</v>
      </c>
      <c r="H167" t="s">
        <v>20</v>
      </c>
      <c r="I167">
        <v>1</v>
      </c>
      <c r="J167">
        <v>39</v>
      </c>
      <c r="K167">
        <v>39</v>
      </c>
      <c r="L1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8" spans="1:12" x14ac:dyDescent="0.3">
      <c r="A168">
        <v>167</v>
      </c>
      <c r="B168" s="1">
        <v>45249</v>
      </c>
      <c r="C168" s="1" t="str">
        <f>TEXT(RetailStore[[#This Row],[Date]],"mmm")</f>
        <v>Nov</v>
      </c>
      <c r="D168">
        <v>2023</v>
      </c>
      <c r="E168" t="s">
        <v>181</v>
      </c>
      <c r="F168" t="s">
        <v>11</v>
      </c>
      <c r="G168">
        <v>63</v>
      </c>
      <c r="H168" t="s">
        <v>15</v>
      </c>
      <c r="I168">
        <v>3</v>
      </c>
      <c r="J168">
        <v>307</v>
      </c>
      <c r="K168">
        <v>921</v>
      </c>
      <c r="L1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9" spans="1:12" x14ac:dyDescent="0.3">
      <c r="A169">
        <v>168</v>
      </c>
      <c r="B169" s="1">
        <v>44934</v>
      </c>
      <c r="C169" s="1" t="str">
        <f>TEXT(RetailStore[[#This Row],[Date]],"mmm")</f>
        <v>Jan</v>
      </c>
      <c r="D169">
        <v>2023</v>
      </c>
      <c r="E169" t="s">
        <v>182</v>
      </c>
      <c r="F169" t="s">
        <v>18</v>
      </c>
      <c r="G169">
        <v>23</v>
      </c>
      <c r="H169" t="s">
        <v>15</v>
      </c>
      <c r="I169">
        <v>1</v>
      </c>
      <c r="J169">
        <v>261</v>
      </c>
      <c r="K169">
        <v>261</v>
      </c>
      <c r="L1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0" spans="1:12" x14ac:dyDescent="0.3">
      <c r="A170">
        <v>169</v>
      </c>
      <c r="B170" s="1">
        <v>44987</v>
      </c>
      <c r="C170" s="1" t="str">
        <f>TEXT(RetailStore[[#This Row],[Date]],"mmm")</f>
        <v>Mar</v>
      </c>
      <c r="D170">
        <v>2023</v>
      </c>
      <c r="E170" t="s">
        <v>183</v>
      </c>
      <c r="F170" t="s">
        <v>11</v>
      </c>
      <c r="G170">
        <v>49</v>
      </c>
      <c r="H170" t="s">
        <v>12</v>
      </c>
      <c r="I170">
        <v>3</v>
      </c>
      <c r="J170">
        <v>285</v>
      </c>
      <c r="K170">
        <v>855</v>
      </c>
      <c r="L1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1" spans="1:12" x14ac:dyDescent="0.3">
      <c r="A171">
        <v>170</v>
      </c>
      <c r="B171" s="1">
        <v>45288</v>
      </c>
      <c r="C171" s="1" t="str">
        <f>TEXT(RetailStore[[#This Row],[Date]],"mmm")</f>
        <v>Dec</v>
      </c>
      <c r="D171">
        <v>2023</v>
      </c>
      <c r="E171" t="s">
        <v>184</v>
      </c>
      <c r="F171" t="s">
        <v>18</v>
      </c>
      <c r="G171">
        <v>44</v>
      </c>
      <c r="H171" t="s">
        <v>20</v>
      </c>
      <c r="I171">
        <v>4</v>
      </c>
      <c r="J171">
        <v>149</v>
      </c>
      <c r="K171">
        <v>596</v>
      </c>
      <c r="L1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2" spans="1:12" x14ac:dyDescent="0.3">
      <c r="A172">
        <v>171</v>
      </c>
      <c r="B172" s="1">
        <v>45160</v>
      </c>
      <c r="C172" s="1" t="str">
        <f>TEXT(RetailStore[[#This Row],[Date]],"mmm")</f>
        <v>Aug</v>
      </c>
      <c r="D172">
        <v>2023</v>
      </c>
      <c r="E172" t="s">
        <v>185</v>
      </c>
      <c r="F172" t="s">
        <v>11</v>
      </c>
      <c r="G172">
        <v>42</v>
      </c>
      <c r="H172" t="s">
        <v>15</v>
      </c>
      <c r="I172">
        <v>2</v>
      </c>
      <c r="J172">
        <v>467</v>
      </c>
      <c r="K172">
        <v>934</v>
      </c>
      <c r="L1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3" spans="1:12" x14ac:dyDescent="0.3">
      <c r="A173">
        <v>172</v>
      </c>
      <c r="B173" s="1">
        <v>44962</v>
      </c>
      <c r="C173" s="1" t="str">
        <f>TEXT(RetailStore[[#This Row],[Date]],"mmm")</f>
        <v>Feb</v>
      </c>
      <c r="D173">
        <v>2023</v>
      </c>
      <c r="E173" t="s">
        <v>186</v>
      </c>
      <c r="F173" t="s">
        <v>18</v>
      </c>
      <c r="G173">
        <v>44</v>
      </c>
      <c r="H173" t="s">
        <v>20</v>
      </c>
      <c r="I173">
        <v>3</v>
      </c>
      <c r="J173">
        <v>445</v>
      </c>
      <c r="K173">
        <v>1335</v>
      </c>
      <c r="L1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4" spans="1:12" x14ac:dyDescent="0.3">
      <c r="A174">
        <v>173</v>
      </c>
      <c r="B174" s="1">
        <v>44928</v>
      </c>
      <c r="C174" s="1" t="str">
        <f>TEXT(RetailStore[[#This Row],[Date]],"mmm")</f>
        <v>Jan</v>
      </c>
      <c r="D174">
        <v>2023</v>
      </c>
      <c r="E174" t="s">
        <v>187</v>
      </c>
      <c r="F174" t="s">
        <v>18</v>
      </c>
      <c r="G174">
        <v>64</v>
      </c>
      <c r="H174" t="s">
        <v>20</v>
      </c>
      <c r="I174">
        <v>4</v>
      </c>
      <c r="J174">
        <v>468</v>
      </c>
      <c r="K174">
        <v>1872</v>
      </c>
      <c r="L1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5" spans="1:12" x14ac:dyDescent="0.3">
      <c r="A175">
        <v>174</v>
      </c>
      <c r="B175" s="1">
        <v>45003</v>
      </c>
      <c r="C175" s="1" t="str">
        <f>TEXT(RetailStore[[#This Row],[Date]],"mmm")</f>
        <v>Mar</v>
      </c>
      <c r="D175">
        <v>2023</v>
      </c>
      <c r="E175" t="s">
        <v>188</v>
      </c>
      <c r="F175" t="s">
        <v>18</v>
      </c>
      <c r="G175">
        <v>52</v>
      </c>
      <c r="H175" t="s">
        <v>20</v>
      </c>
      <c r="I175">
        <v>3</v>
      </c>
      <c r="J175">
        <v>195</v>
      </c>
      <c r="K175">
        <v>585</v>
      </c>
      <c r="L1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6" spans="1:12" x14ac:dyDescent="0.3">
      <c r="A176">
        <v>175</v>
      </c>
      <c r="B176" s="1">
        <v>45209</v>
      </c>
      <c r="C176" s="1" t="str">
        <f>TEXT(RetailStore[[#This Row],[Date]],"mmm")</f>
        <v>Oct</v>
      </c>
      <c r="D176">
        <v>2023</v>
      </c>
      <c r="E176" t="s">
        <v>189</v>
      </c>
      <c r="F176" t="s">
        <v>18</v>
      </c>
      <c r="G176">
        <v>47</v>
      </c>
      <c r="H176" t="s">
        <v>20</v>
      </c>
      <c r="I176">
        <v>2</v>
      </c>
      <c r="J176">
        <v>382</v>
      </c>
      <c r="K176">
        <v>764</v>
      </c>
      <c r="L1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7" spans="1:12" x14ac:dyDescent="0.3">
      <c r="A177">
        <v>176</v>
      </c>
      <c r="B177" s="1">
        <v>45049</v>
      </c>
      <c r="C177" s="1" t="str">
        <f>TEXT(RetailStore[[#This Row],[Date]],"mmm")</f>
        <v>May</v>
      </c>
      <c r="D177">
        <v>2023</v>
      </c>
      <c r="E177" t="s">
        <v>190</v>
      </c>
      <c r="F177" t="s">
        <v>18</v>
      </c>
      <c r="G177">
        <v>32</v>
      </c>
      <c r="H177" t="s">
        <v>20</v>
      </c>
      <c r="I177">
        <v>1</v>
      </c>
      <c r="J177">
        <v>187</v>
      </c>
      <c r="K177">
        <v>187</v>
      </c>
      <c r="L1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8" spans="1:12" x14ac:dyDescent="0.3">
      <c r="A178">
        <v>177</v>
      </c>
      <c r="B178" s="1">
        <v>45169</v>
      </c>
      <c r="C178" s="1" t="str">
        <f>TEXT(RetailStore[[#This Row],[Date]],"mmm")</f>
        <v>Aug</v>
      </c>
      <c r="D178">
        <v>2023</v>
      </c>
      <c r="E178" t="s">
        <v>191</v>
      </c>
      <c r="F178" t="s">
        <v>18</v>
      </c>
      <c r="G178">
        <v>42</v>
      </c>
      <c r="H178" t="s">
        <v>12</v>
      </c>
      <c r="I178">
        <v>2</v>
      </c>
      <c r="J178">
        <v>278</v>
      </c>
      <c r="K178">
        <v>556</v>
      </c>
      <c r="L1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9" spans="1:12" x14ac:dyDescent="0.3">
      <c r="A179">
        <v>178</v>
      </c>
      <c r="B179" s="1">
        <v>44945</v>
      </c>
      <c r="C179" s="1" t="str">
        <f>TEXT(RetailStore[[#This Row],[Date]],"mmm")</f>
        <v>Jan</v>
      </c>
      <c r="D179">
        <v>2023</v>
      </c>
      <c r="E179" t="s">
        <v>192</v>
      </c>
      <c r="F179" t="s">
        <v>11</v>
      </c>
      <c r="G179">
        <v>50</v>
      </c>
      <c r="H179" t="s">
        <v>12</v>
      </c>
      <c r="I179">
        <v>3</v>
      </c>
      <c r="J179">
        <v>470</v>
      </c>
      <c r="K179">
        <v>1410</v>
      </c>
      <c r="L1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0" spans="1:12" x14ac:dyDescent="0.3">
      <c r="A180">
        <v>179</v>
      </c>
      <c r="B180" s="1">
        <v>44978</v>
      </c>
      <c r="C180" s="1" t="str">
        <f>TEXT(RetailStore[[#This Row],[Date]],"mmm")</f>
        <v>Feb</v>
      </c>
      <c r="D180">
        <v>2023</v>
      </c>
      <c r="E180" t="s">
        <v>193</v>
      </c>
      <c r="F180" t="s">
        <v>18</v>
      </c>
      <c r="G180">
        <v>24</v>
      </c>
      <c r="H180" t="s">
        <v>12</v>
      </c>
      <c r="I180">
        <v>4</v>
      </c>
      <c r="J180">
        <v>32</v>
      </c>
      <c r="K180">
        <v>128</v>
      </c>
      <c r="L1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1" spans="1:12" x14ac:dyDescent="0.3">
      <c r="A181">
        <v>180</v>
      </c>
      <c r="B181" s="1">
        <v>45000</v>
      </c>
      <c r="C181" s="1" t="str">
        <f>TEXT(RetailStore[[#This Row],[Date]],"mmm")</f>
        <v>Mar</v>
      </c>
      <c r="D181">
        <v>2023</v>
      </c>
      <c r="E181" t="s">
        <v>194</v>
      </c>
      <c r="F181" t="s">
        <v>18</v>
      </c>
      <c r="G181">
        <v>59</v>
      </c>
      <c r="H181" t="s">
        <v>15</v>
      </c>
      <c r="I181">
        <v>1</v>
      </c>
      <c r="J181">
        <v>265</v>
      </c>
      <c r="K181">
        <v>265</v>
      </c>
      <c r="L1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2" spans="1:12" x14ac:dyDescent="0.3">
      <c r="A182">
        <v>181</v>
      </c>
      <c r="B182" s="1">
        <v>45062</v>
      </c>
      <c r="C182" s="1" t="str">
        <f>TEXT(RetailStore[[#This Row],[Date]],"mmm")</f>
        <v>May</v>
      </c>
      <c r="D182">
        <v>2023</v>
      </c>
      <c r="E182" t="s">
        <v>195</v>
      </c>
      <c r="F182" t="s">
        <v>18</v>
      </c>
      <c r="G182">
        <v>57</v>
      </c>
      <c r="H182" t="s">
        <v>12</v>
      </c>
      <c r="I182">
        <v>4</v>
      </c>
      <c r="J182">
        <v>357</v>
      </c>
      <c r="K182">
        <v>1428</v>
      </c>
      <c r="L1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3" spans="1:12" x14ac:dyDescent="0.3">
      <c r="A183">
        <v>182</v>
      </c>
      <c r="B183" s="1">
        <v>44968</v>
      </c>
      <c r="C183" s="1" t="str">
        <f>TEXT(RetailStore[[#This Row],[Date]],"mmm")</f>
        <v>Feb</v>
      </c>
      <c r="D183">
        <v>2023</v>
      </c>
      <c r="E183" t="s">
        <v>196</v>
      </c>
      <c r="F183" t="s">
        <v>18</v>
      </c>
      <c r="G183">
        <v>61</v>
      </c>
      <c r="H183" t="s">
        <v>12</v>
      </c>
      <c r="I183">
        <v>4</v>
      </c>
      <c r="J183">
        <v>187</v>
      </c>
      <c r="K183">
        <v>748</v>
      </c>
      <c r="L1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4" spans="1:12" x14ac:dyDescent="0.3">
      <c r="A184">
        <v>183</v>
      </c>
      <c r="B184" s="1">
        <v>45247</v>
      </c>
      <c r="C184" s="1" t="str">
        <f>TEXT(RetailStore[[#This Row],[Date]],"mmm")</f>
        <v>Nov</v>
      </c>
      <c r="D184">
        <v>2023</v>
      </c>
      <c r="E184" t="s">
        <v>197</v>
      </c>
      <c r="F184" t="s">
        <v>18</v>
      </c>
      <c r="G184">
        <v>52</v>
      </c>
      <c r="H184" t="s">
        <v>15</v>
      </c>
      <c r="I184">
        <v>1</v>
      </c>
      <c r="J184">
        <v>145</v>
      </c>
      <c r="K184">
        <v>145</v>
      </c>
      <c r="L1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5" spans="1:12" x14ac:dyDescent="0.3">
      <c r="A185">
        <v>184</v>
      </c>
      <c r="B185" s="1">
        <v>45250</v>
      </c>
      <c r="C185" s="1" t="str">
        <f>TEXT(RetailStore[[#This Row],[Date]],"mmm")</f>
        <v>Nov</v>
      </c>
      <c r="D185">
        <v>2023</v>
      </c>
      <c r="E185" t="s">
        <v>198</v>
      </c>
      <c r="F185" t="s">
        <v>18</v>
      </c>
      <c r="G185">
        <v>32</v>
      </c>
      <c r="H185" t="s">
        <v>12</v>
      </c>
      <c r="I185">
        <v>1</v>
      </c>
      <c r="J185">
        <v>247</v>
      </c>
      <c r="K185">
        <v>247</v>
      </c>
      <c r="L1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6" spans="1:12" x14ac:dyDescent="0.3">
      <c r="A186">
        <v>185</v>
      </c>
      <c r="B186" s="1">
        <v>44977</v>
      </c>
      <c r="C186" s="1" t="str">
        <f>TEXT(RetailStore[[#This Row],[Date]],"mmm")</f>
        <v>Feb</v>
      </c>
      <c r="D186">
        <v>2023</v>
      </c>
      <c r="E186" t="s">
        <v>199</v>
      </c>
      <c r="F186" t="s">
        <v>11</v>
      </c>
      <c r="G186">
        <v>46</v>
      </c>
      <c r="H186" t="s">
        <v>15</v>
      </c>
      <c r="I186">
        <v>3</v>
      </c>
      <c r="J186">
        <v>487</v>
      </c>
      <c r="K186">
        <v>1461</v>
      </c>
      <c r="L1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7" spans="1:12" x14ac:dyDescent="0.3">
      <c r="A187">
        <v>186</v>
      </c>
      <c r="B187" s="1">
        <v>44941</v>
      </c>
      <c r="C187" s="1" t="str">
        <f>TEXT(RetailStore[[#This Row],[Date]],"mmm")</f>
        <v>Jan</v>
      </c>
      <c r="D187">
        <v>2023</v>
      </c>
      <c r="E187" t="s">
        <v>200</v>
      </c>
      <c r="F187" t="s">
        <v>11</v>
      </c>
      <c r="G187">
        <v>38</v>
      </c>
      <c r="H187" t="s">
        <v>15</v>
      </c>
      <c r="I187">
        <v>3</v>
      </c>
      <c r="J187">
        <v>208</v>
      </c>
      <c r="K187">
        <v>624</v>
      </c>
      <c r="L1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8" spans="1:12" x14ac:dyDescent="0.3">
      <c r="A188">
        <v>187</v>
      </c>
      <c r="B188" s="1">
        <v>45118</v>
      </c>
      <c r="C188" s="1" t="str">
        <f>TEXT(RetailStore[[#This Row],[Date]],"mmm")</f>
        <v>Jul</v>
      </c>
      <c r="D188">
        <v>2023</v>
      </c>
      <c r="E188" t="s">
        <v>201</v>
      </c>
      <c r="F188" t="s">
        <v>18</v>
      </c>
      <c r="G188">
        <v>27</v>
      </c>
      <c r="H188" t="s">
        <v>15</v>
      </c>
      <c r="I188">
        <v>4</v>
      </c>
      <c r="J188">
        <v>314</v>
      </c>
      <c r="K188">
        <v>1256</v>
      </c>
      <c r="L1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" spans="1:12" x14ac:dyDescent="0.3">
      <c r="A189">
        <v>188</v>
      </c>
      <c r="B189" s="1">
        <v>45276</v>
      </c>
      <c r="C189" s="1" t="str">
        <f>TEXT(RetailStore[[#This Row],[Date]],"mmm")</f>
        <v>Dec</v>
      </c>
      <c r="D189">
        <v>2023</v>
      </c>
      <c r="E189" t="s">
        <v>202</v>
      </c>
      <c r="F189" t="s">
        <v>11</v>
      </c>
      <c r="G189">
        <v>28</v>
      </c>
      <c r="H189" t="s">
        <v>15</v>
      </c>
      <c r="I189">
        <v>1</v>
      </c>
      <c r="J189">
        <v>337</v>
      </c>
      <c r="K189">
        <v>337</v>
      </c>
      <c r="L1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" spans="1:12" x14ac:dyDescent="0.3">
      <c r="A190">
        <v>189</v>
      </c>
      <c r="B190" s="1">
        <v>45122</v>
      </c>
      <c r="C190" s="1" t="str">
        <f>TEXT(RetailStore[[#This Row],[Date]],"mmm")</f>
        <v>Jul</v>
      </c>
      <c r="D190">
        <v>2023</v>
      </c>
      <c r="E190" t="s">
        <v>203</v>
      </c>
      <c r="F190" t="s">
        <v>11</v>
      </c>
      <c r="G190">
        <v>49</v>
      </c>
      <c r="H190" t="s">
        <v>12</v>
      </c>
      <c r="I190">
        <v>2</v>
      </c>
      <c r="J190">
        <v>143</v>
      </c>
      <c r="K190">
        <v>286</v>
      </c>
      <c r="L1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1" spans="1:12" x14ac:dyDescent="0.3">
      <c r="A191">
        <v>190</v>
      </c>
      <c r="B191" s="1">
        <v>45163</v>
      </c>
      <c r="C191" s="1" t="str">
        <f>TEXT(RetailStore[[#This Row],[Date]],"mmm")</f>
        <v>Aug</v>
      </c>
      <c r="D191">
        <v>2023</v>
      </c>
      <c r="E191" t="s">
        <v>204</v>
      </c>
      <c r="F191" t="s">
        <v>18</v>
      </c>
      <c r="G191">
        <v>47</v>
      </c>
      <c r="H191" t="s">
        <v>20</v>
      </c>
      <c r="I191">
        <v>1</v>
      </c>
      <c r="J191">
        <v>485</v>
      </c>
      <c r="K191">
        <v>485</v>
      </c>
      <c r="L1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2" spans="1:12" x14ac:dyDescent="0.3">
      <c r="A192">
        <v>191</v>
      </c>
      <c r="B192" s="1">
        <v>45165</v>
      </c>
      <c r="C192" s="1" t="str">
        <f>TEXT(RetailStore[[#This Row],[Date]],"mmm")</f>
        <v>Aug</v>
      </c>
      <c r="D192">
        <v>2023</v>
      </c>
      <c r="E192" t="s">
        <v>205</v>
      </c>
      <c r="F192" t="s">
        <v>18</v>
      </c>
      <c r="G192">
        <v>61</v>
      </c>
      <c r="H192" t="s">
        <v>12</v>
      </c>
      <c r="I192">
        <v>2</v>
      </c>
      <c r="J192">
        <v>62</v>
      </c>
      <c r="K192">
        <v>124</v>
      </c>
      <c r="L1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3" spans="1:12" x14ac:dyDescent="0.3">
      <c r="A193">
        <v>192</v>
      </c>
      <c r="B193" s="1">
        <v>45153</v>
      </c>
      <c r="C193" s="1" t="str">
        <f>TEXT(RetailStore[[#This Row],[Date]],"mmm")</f>
        <v>Aug</v>
      </c>
      <c r="D193">
        <v>2023</v>
      </c>
      <c r="E193" t="s">
        <v>206</v>
      </c>
      <c r="F193" t="s">
        <v>18</v>
      </c>
      <c r="G193">
        <v>55</v>
      </c>
      <c r="H193" t="s">
        <v>20</v>
      </c>
      <c r="I193">
        <v>4</v>
      </c>
      <c r="J193">
        <v>378</v>
      </c>
      <c r="K193">
        <v>1512</v>
      </c>
      <c r="L1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4" spans="1:12" x14ac:dyDescent="0.3">
      <c r="A194">
        <v>193</v>
      </c>
      <c r="B194" s="1">
        <v>45055</v>
      </c>
      <c r="C194" s="1" t="str">
        <f>TEXT(RetailStore[[#This Row],[Date]],"mmm")</f>
        <v>May</v>
      </c>
      <c r="D194">
        <v>2023</v>
      </c>
      <c r="E194" t="s">
        <v>207</v>
      </c>
      <c r="F194" t="s">
        <v>18</v>
      </c>
      <c r="G194">
        <v>37</v>
      </c>
      <c r="H194" t="s">
        <v>15</v>
      </c>
      <c r="I194">
        <v>4</v>
      </c>
      <c r="J194">
        <v>461</v>
      </c>
      <c r="K194">
        <v>1844</v>
      </c>
      <c r="L1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5" spans="1:12" x14ac:dyDescent="0.3">
      <c r="A195">
        <v>194</v>
      </c>
      <c r="B195" s="1">
        <v>45174</v>
      </c>
      <c r="C195" s="1" t="str">
        <f>TEXT(RetailStore[[#This Row],[Date]],"mmm")</f>
        <v>Sep</v>
      </c>
      <c r="D195">
        <v>2023</v>
      </c>
      <c r="E195" t="s">
        <v>208</v>
      </c>
      <c r="F195" t="s">
        <v>11</v>
      </c>
      <c r="G195">
        <v>33</v>
      </c>
      <c r="H195" t="s">
        <v>20</v>
      </c>
      <c r="I195">
        <v>3</v>
      </c>
      <c r="J195">
        <v>319</v>
      </c>
      <c r="K195">
        <v>957</v>
      </c>
      <c r="L1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6" spans="1:12" x14ac:dyDescent="0.3">
      <c r="A196">
        <v>195</v>
      </c>
      <c r="B196" s="1">
        <v>45078</v>
      </c>
      <c r="C196" s="1" t="str">
        <f>TEXT(RetailStore[[#This Row],[Date]],"mmm")</f>
        <v>Jun</v>
      </c>
      <c r="D196">
        <v>2023</v>
      </c>
      <c r="E196" t="s">
        <v>209</v>
      </c>
      <c r="F196" t="s">
        <v>18</v>
      </c>
      <c r="G196">
        <v>19</v>
      </c>
      <c r="H196" t="s">
        <v>12</v>
      </c>
      <c r="I196">
        <v>4</v>
      </c>
      <c r="J196">
        <v>165</v>
      </c>
      <c r="K196">
        <v>660</v>
      </c>
      <c r="L1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7" spans="1:12" x14ac:dyDescent="0.3">
      <c r="A197">
        <v>196</v>
      </c>
      <c r="B197" s="1">
        <v>44931</v>
      </c>
      <c r="C197" s="1" t="str">
        <f>TEXT(RetailStore[[#This Row],[Date]],"mmm")</f>
        <v>Jan</v>
      </c>
      <c r="D197">
        <v>2023</v>
      </c>
      <c r="E197" t="s">
        <v>210</v>
      </c>
      <c r="F197" t="s">
        <v>11</v>
      </c>
      <c r="G197">
        <v>56</v>
      </c>
      <c r="H197" t="s">
        <v>12</v>
      </c>
      <c r="I197">
        <v>4</v>
      </c>
      <c r="J197">
        <v>451</v>
      </c>
      <c r="K197">
        <v>1804</v>
      </c>
      <c r="L1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" spans="1:12" x14ac:dyDescent="0.3">
      <c r="A198">
        <v>197</v>
      </c>
      <c r="B198" s="1">
        <v>45073</v>
      </c>
      <c r="C198" s="1" t="str">
        <f>TEXT(RetailStore[[#This Row],[Date]],"mmm")</f>
        <v>May</v>
      </c>
      <c r="D198">
        <v>2023</v>
      </c>
      <c r="E198" t="s">
        <v>211</v>
      </c>
      <c r="F198" t="s">
        <v>11</v>
      </c>
      <c r="G198">
        <v>56</v>
      </c>
      <c r="H198" t="s">
        <v>20</v>
      </c>
      <c r="I198">
        <v>2</v>
      </c>
      <c r="J198">
        <v>350</v>
      </c>
      <c r="K198">
        <v>700</v>
      </c>
      <c r="L1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9" spans="1:12" x14ac:dyDescent="0.3">
      <c r="A199">
        <v>198</v>
      </c>
      <c r="B199" s="1">
        <v>45024</v>
      </c>
      <c r="C199" s="1" t="str">
        <f>TEXT(RetailStore[[#This Row],[Date]],"mmm")</f>
        <v>Apr</v>
      </c>
      <c r="D199">
        <v>2023</v>
      </c>
      <c r="E199" t="s">
        <v>212</v>
      </c>
      <c r="F199" t="s">
        <v>18</v>
      </c>
      <c r="G199">
        <v>61</v>
      </c>
      <c r="H199" t="s">
        <v>12</v>
      </c>
      <c r="I199">
        <v>2</v>
      </c>
      <c r="J199">
        <v>346</v>
      </c>
      <c r="K199">
        <v>692</v>
      </c>
      <c r="L1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00" spans="1:12" x14ac:dyDescent="0.3">
      <c r="A200">
        <v>199</v>
      </c>
      <c r="B200" s="1">
        <v>44976</v>
      </c>
      <c r="C200" s="1" t="str">
        <f>TEXT(RetailStore[[#This Row],[Date]],"mmm")</f>
        <v>Feb</v>
      </c>
      <c r="D200">
        <v>2023</v>
      </c>
      <c r="E200" t="s">
        <v>213</v>
      </c>
      <c r="F200" t="s">
        <v>11</v>
      </c>
      <c r="G200">
        <v>37</v>
      </c>
      <c r="H200" t="s">
        <v>20</v>
      </c>
      <c r="I200">
        <v>1</v>
      </c>
      <c r="J200">
        <v>321</v>
      </c>
      <c r="K200">
        <v>321</v>
      </c>
      <c r="L2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01" spans="1:12" x14ac:dyDescent="0.3">
      <c r="A201">
        <v>200</v>
      </c>
      <c r="B201" s="1">
        <v>45113</v>
      </c>
      <c r="C201" s="1" t="str">
        <f>TEXT(RetailStore[[#This Row],[Date]],"mmm")</f>
        <v>Jul</v>
      </c>
      <c r="D201">
        <v>2023</v>
      </c>
      <c r="E201" t="s">
        <v>214</v>
      </c>
      <c r="F201" t="s">
        <v>11</v>
      </c>
      <c r="G201">
        <v>23</v>
      </c>
      <c r="H201" t="s">
        <v>20</v>
      </c>
      <c r="I201">
        <v>3</v>
      </c>
      <c r="J201">
        <v>407</v>
      </c>
      <c r="K201">
        <v>1221</v>
      </c>
      <c r="L2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02" spans="1:12" x14ac:dyDescent="0.3">
      <c r="A202">
        <v>201</v>
      </c>
      <c r="B202" s="1">
        <v>45139</v>
      </c>
      <c r="C202" s="1" t="str">
        <f>TEXT(RetailStore[[#This Row],[Date]],"mmm")</f>
        <v>Aug</v>
      </c>
      <c r="D202">
        <v>2023</v>
      </c>
      <c r="E202" t="s">
        <v>215</v>
      </c>
      <c r="F202" t="s">
        <v>11</v>
      </c>
      <c r="G202">
        <v>30</v>
      </c>
      <c r="H202" t="s">
        <v>15</v>
      </c>
      <c r="I202">
        <v>3</v>
      </c>
      <c r="J202">
        <v>296</v>
      </c>
      <c r="K202">
        <v>888</v>
      </c>
      <c r="L2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03" spans="1:12" x14ac:dyDescent="0.3">
      <c r="A203">
        <v>202</v>
      </c>
      <c r="B203" s="1">
        <v>45183</v>
      </c>
      <c r="C203" s="1" t="str">
        <f>TEXT(RetailStore[[#This Row],[Date]],"mmm")</f>
        <v>Sep</v>
      </c>
      <c r="D203">
        <v>2023</v>
      </c>
      <c r="E203" t="s">
        <v>216</v>
      </c>
      <c r="F203" t="s">
        <v>18</v>
      </c>
      <c r="G203">
        <v>28</v>
      </c>
      <c r="H203" t="s">
        <v>20</v>
      </c>
      <c r="I203">
        <v>4</v>
      </c>
      <c r="J203">
        <v>437</v>
      </c>
      <c r="K203">
        <v>1748</v>
      </c>
      <c r="L2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04" spans="1:12" x14ac:dyDescent="0.3">
      <c r="A204">
        <v>203</v>
      </c>
      <c r="B204" s="1">
        <v>45078</v>
      </c>
      <c r="C204" s="1" t="str">
        <f>TEXT(RetailStore[[#This Row],[Date]],"mmm")</f>
        <v>Jun</v>
      </c>
      <c r="D204">
        <v>2023</v>
      </c>
      <c r="E204" t="s">
        <v>217</v>
      </c>
      <c r="F204" t="s">
        <v>18</v>
      </c>
      <c r="G204">
        <v>25</v>
      </c>
      <c r="H204" t="s">
        <v>20</v>
      </c>
      <c r="I204">
        <v>1</v>
      </c>
      <c r="J204">
        <v>97</v>
      </c>
      <c r="K204">
        <v>97</v>
      </c>
      <c r="L2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05" spans="1:12" x14ac:dyDescent="0.3">
      <c r="A205">
        <v>204</v>
      </c>
      <c r="B205" s="1">
        <v>45042</v>
      </c>
      <c r="C205" s="1" t="str">
        <f>TEXT(RetailStore[[#This Row],[Date]],"mmm")</f>
        <v>Apr</v>
      </c>
      <c r="D205">
        <v>2023</v>
      </c>
      <c r="E205" t="s">
        <v>218</v>
      </c>
      <c r="F205" t="s">
        <v>18</v>
      </c>
      <c r="G205">
        <v>53</v>
      </c>
      <c r="H205" t="s">
        <v>20</v>
      </c>
      <c r="I205">
        <v>1</v>
      </c>
      <c r="J205">
        <v>429</v>
      </c>
      <c r="K205">
        <v>429</v>
      </c>
      <c r="L2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06" spans="1:12" x14ac:dyDescent="0.3">
      <c r="A206">
        <v>205</v>
      </c>
      <c r="B206" s="1">
        <v>45129</v>
      </c>
      <c r="C206" s="1" t="str">
        <f>TEXT(RetailStore[[#This Row],[Date]],"mmm")</f>
        <v>Jul</v>
      </c>
      <c r="D206">
        <v>2023</v>
      </c>
      <c r="E206" t="s">
        <v>219</v>
      </c>
      <c r="F206" t="s">
        <v>11</v>
      </c>
      <c r="G206">
        <v>34</v>
      </c>
      <c r="H206" t="s">
        <v>12</v>
      </c>
      <c r="I206">
        <v>1</v>
      </c>
      <c r="J206">
        <v>257</v>
      </c>
      <c r="K206">
        <v>257</v>
      </c>
      <c r="L2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07" spans="1:12" x14ac:dyDescent="0.3">
      <c r="A207">
        <v>206</v>
      </c>
      <c r="B207" s="1">
        <v>45115</v>
      </c>
      <c r="C207" s="1" t="str">
        <f>TEXT(RetailStore[[#This Row],[Date]],"mmm")</f>
        <v>Jul</v>
      </c>
      <c r="D207">
        <v>2023</v>
      </c>
      <c r="E207" t="s">
        <v>220</v>
      </c>
      <c r="F207" t="s">
        <v>18</v>
      </c>
      <c r="G207">
        <v>55</v>
      </c>
      <c r="H207" t="s">
        <v>20</v>
      </c>
      <c r="I207">
        <v>3</v>
      </c>
      <c r="J207">
        <v>80</v>
      </c>
      <c r="K207">
        <v>240</v>
      </c>
      <c r="L2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08" spans="1:12" x14ac:dyDescent="0.3">
      <c r="A208">
        <v>207</v>
      </c>
      <c r="B208" s="1">
        <v>45272</v>
      </c>
      <c r="C208" s="1" t="str">
        <f>TEXT(RetailStore[[#This Row],[Date]],"mmm")</f>
        <v>Dec</v>
      </c>
      <c r="D208">
        <v>2023</v>
      </c>
      <c r="E208" t="s">
        <v>221</v>
      </c>
      <c r="F208" t="s">
        <v>11</v>
      </c>
      <c r="G208">
        <v>48</v>
      </c>
      <c r="H208" t="s">
        <v>15</v>
      </c>
      <c r="I208">
        <v>3</v>
      </c>
      <c r="J208">
        <v>493</v>
      </c>
      <c r="K208">
        <v>1479</v>
      </c>
      <c r="L2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09" spans="1:12" x14ac:dyDescent="0.3">
      <c r="A209">
        <v>208</v>
      </c>
      <c r="B209" s="1">
        <v>45239</v>
      </c>
      <c r="C209" s="1" t="str">
        <f>TEXT(RetailStore[[#This Row],[Date]],"mmm")</f>
        <v>Nov</v>
      </c>
      <c r="D209">
        <v>2023</v>
      </c>
      <c r="E209" t="s">
        <v>222</v>
      </c>
      <c r="F209" t="s">
        <v>11</v>
      </c>
      <c r="G209">
        <v>59</v>
      </c>
      <c r="H209" t="s">
        <v>15</v>
      </c>
      <c r="I209">
        <v>4</v>
      </c>
      <c r="J209">
        <v>490</v>
      </c>
      <c r="K209">
        <v>1960</v>
      </c>
      <c r="L2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10" spans="1:12" x14ac:dyDescent="0.3">
      <c r="A210">
        <v>209</v>
      </c>
      <c r="B210" s="1">
        <v>45285</v>
      </c>
      <c r="C210" s="1" t="str">
        <f>TEXT(RetailStore[[#This Row],[Date]],"mmm")</f>
        <v>Dec</v>
      </c>
      <c r="D210">
        <v>2023</v>
      </c>
      <c r="E210" t="s">
        <v>223</v>
      </c>
      <c r="F210" t="s">
        <v>18</v>
      </c>
      <c r="G210">
        <v>59</v>
      </c>
      <c r="H210" t="s">
        <v>20</v>
      </c>
      <c r="I210">
        <v>1</v>
      </c>
      <c r="J210">
        <v>96</v>
      </c>
      <c r="K210">
        <v>96</v>
      </c>
      <c r="L2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11" spans="1:12" x14ac:dyDescent="0.3">
      <c r="A211">
        <v>210</v>
      </c>
      <c r="B211" s="1">
        <v>44950</v>
      </c>
      <c r="C211" s="1" t="str">
        <f>TEXT(RetailStore[[#This Row],[Date]],"mmm")</f>
        <v>Jan</v>
      </c>
      <c r="D211">
        <v>2023</v>
      </c>
      <c r="E211" t="s">
        <v>224</v>
      </c>
      <c r="F211" t="s">
        <v>11</v>
      </c>
      <c r="G211">
        <v>37</v>
      </c>
      <c r="H211" t="s">
        <v>20</v>
      </c>
      <c r="I211">
        <v>1</v>
      </c>
      <c r="J211">
        <v>74</v>
      </c>
      <c r="K211">
        <v>74</v>
      </c>
      <c r="L2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12" spans="1:12" x14ac:dyDescent="0.3">
      <c r="A212">
        <v>211</v>
      </c>
      <c r="B212" s="1">
        <v>45047</v>
      </c>
      <c r="C212" s="1" t="str">
        <f>TEXT(RetailStore[[#This Row],[Date]],"mmm")</f>
        <v>May</v>
      </c>
      <c r="D212">
        <v>2023</v>
      </c>
      <c r="E212" t="s">
        <v>225</v>
      </c>
      <c r="F212" t="s">
        <v>11</v>
      </c>
      <c r="G212">
        <v>42</v>
      </c>
      <c r="H212" t="s">
        <v>20</v>
      </c>
      <c r="I212">
        <v>3</v>
      </c>
      <c r="J212">
        <v>368</v>
      </c>
      <c r="K212">
        <v>1104</v>
      </c>
      <c r="L2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13" spans="1:12" x14ac:dyDescent="0.3">
      <c r="A213">
        <v>212</v>
      </c>
      <c r="B213" s="1">
        <v>45283</v>
      </c>
      <c r="C213" s="1" t="str">
        <f>TEXT(RetailStore[[#This Row],[Date]],"mmm")</f>
        <v>Dec</v>
      </c>
      <c r="D213">
        <v>2023</v>
      </c>
      <c r="E213" t="s">
        <v>226</v>
      </c>
      <c r="F213" t="s">
        <v>18</v>
      </c>
      <c r="G213">
        <v>55</v>
      </c>
      <c r="H213" t="s">
        <v>12</v>
      </c>
      <c r="I213">
        <v>2</v>
      </c>
      <c r="J213">
        <v>478</v>
      </c>
      <c r="K213">
        <v>956</v>
      </c>
      <c r="L2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14" spans="1:12" x14ac:dyDescent="0.3">
      <c r="A214">
        <v>213</v>
      </c>
      <c r="B214" s="1">
        <v>45139</v>
      </c>
      <c r="C214" s="1" t="str">
        <f>TEXT(RetailStore[[#This Row],[Date]],"mmm")</f>
        <v>Aug</v>
      </c>
      <c r="D214">
        <v>2023</v>
      </c>
      <c r="E214" t="s">
        <v>227</v>
      </c>
      <c r="F214" t="s">
        <v>11</v>
      </c>
      <c r="G214">
        <v>49</v>
      </c>
      <c r="H214" t="s">
        <v>12</v>
      </c>
      <c r="I214">
        <v>4</v>
      </c>
      <c r="J214">
        <v>168</v>
      </c>
      <c r="K214">
        <v>672</v>
      </c>
      <c r="L2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15" spans="1:12" x14ac:dyDescent="0.3">
      <c r="A215">
        <v>214</v>
      </c>
      <c r="B215" s="1">
        <v>44943</v>
      </c>
      <c r="C215" s="1" t="str">
        <f>TEXT(RetailStore[[#This Row],[Date]],"mmm")</f>
        <v>Jan</v>
      </c>
      <c r="D215">
        <v>2023</v>
      </c>
      <c r="E215" t="s">
        <v>228</v>
      </c>
      <c r="F215" t="s">
        <v>18</v>
      </c>
      <c r="G215">
        <v>31</v>
      </c>
      <c r="H215" t="s">
        <v>20</v>
      </c>
      <c r="I215">
        <v>4</v>
      </c>
      <c r="J215">
        <v>145</v>
      </c>
      <c r="K215">
        <v>580</v>
      </c>
      <c r="L2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16" spans="1:12" x14ac:dyDescent="0.3">
      <c r="A216">
        <v>215</v>
      </c>
      <c r="B216" s="1">
        <v>45112</v>
      </c>
      <c r="C216" s="1" t="str">
        <f>TEXT(RetailStore[[#This Row],[Date]],"mmm")</f>
        <v>Jul</v>
      </c>
      <c r="D216">
        <v>2023</v>
      </c>
      <c r="E216" t="s">
        <v>229</v>
      </c>
      <c r="F216" t="s">
        <v>11</v>
      </c>
      <c r="G216">
        <v>61</v>
      </c>
      <c r="H216" t="s">
        <v>20</v>
      </c>
      <c r="I216">
        <v>3</v>
      </c>
      <c r="J216">
        <v>56</v>
      </c>
      <c r="K216">
        <v>168</v>
      </c>
      <c r="L2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17" spans="1:12" x14ac:dyDescent="0.3">
      <c r="A217">
        <v>216</v>
      </c>
      <c r="B217" s="1">
        <v>45130</v>
      </c>
      <c r="C217" s="1" t="str">
        <f>TEXT(RetailStore[[#This Row],[Date]],"mmm")</f>
        <v>Jul</v>
      </c>
      <c r="D217">
        <v>2023</v>
      </c>
      <c r="E217" t="s">
        <v>230</v>
      </c>
      <c r="F217" t="s">
        <v>18</v>
      </c>
      <c r="G217">
        <v>30</v>
      </c>
      <c r="H217" t="s">
        <v>15</v>
      </c>
      <c r="I217">
        <v>4</v>
      </c>
      <c r="J217">
        <v>71</v>
      </c>
      <c r="K217">
        <v>284</v>
      </c>
      <c r="L2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18" spans="1:12" x14ac:dyDescent="0.3">
      <c r="A218">
        <v>217</v>
      </c>
      <c r="B218" s="1">
        <v>45266</v>
      </c>
      <c r="C218" s="1" t="str">
        <f>TEXT(RetailStore[[#This Row],[Date]],"mmm")</f>
        <v>Dec</v>
      </c>
      <c r="D218">
        <v>2023</v>
      </c>
      <c r="E218" t="s">
        <v>231</v>
      </c>
      <c r="F218" t="s">
        <v>11</v>
      </c>
      <c r="G218">
        <v>59</v>
      </c>
      <c r="H218" t="s">
        <v>12</v>
      </c>
      <c r="I218">
        <v>1</v>
      </c>
      <c r="J218">
        <v>50</v>
      </c>
      <c r="K218">
        <v>50</v>
      </c>
      <c r="L2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19" spans="1:12" x14ac:dyDescent="0.3">
      <c r="A219">
        <v>218</v>
      </c>
      <c r="B219" s="1">
        <v>45097</v>
      </c>
      <c r="C219" s="1" t="str">
        <f>TEXT(RetailStore[[#This Row],[Date]],"mmm")</f>
        <v>Jun</v>
      </c>
      <c r="D219">
        <v>2023</v>
      </c>
      <c r="E219" t="s">
        <v>232</v>
      </c>
      <c r="F219" t="s">
        <v>11</v>
      </c>
      <c r="G219">
        <v>26</v>
      </c>
      <c r="H219" t="s">
        <v>12</v>
      </c>
      <c r="I219">
        <v>2</v>
      </c>
      <c r="J219">
        <v>60</v>
      </c>
      <c r="K219">
        <v>120</v>
      </c>
      <c r="L2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20" spans="1:12" x14ac:dyDescent="0.3">
      <c r="A220">
        <v>219</v>
      </c>
      <c r="B220" s="1">
        <v>45210</v>
      </c>
      <c r="C220" s="1" t="str">
        <f>TEXT(RetailStore[[#This Row],[Date]],"mmm")</f>
        <v>Oct</v>
      </c>
      <c r="D220">
        <v>2023</v>
      </c>
      <c r="E220" t="s">
        <v>233</v>
      </c>
      <c r="F220" t="s">
        <v>11</v>
      </c>
      <c r="G220">
        <v>55</v>
      </c>
      <c r="H220" t="s">
        <v>15</v>
      </c>
      <c r="I220">
        <v>2</v>
      </c>
      <c r="J220">
        <v>193</v>
      </c>
      <c r="K220">
        <v>386</v>
      </c>
      <c r="L2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21" spans="1:12" x14ac:dyDescent="0.3">
      <c r="A221">
        <v>220</v>
      </c>
      <c r="B221" s="1">
        <v>45002</v>
      </c>
      <c r="C221" s="1" t="str">
        <f>TEXT(RetailStore[[#This Row],[Date]],"mmm")</f>
        <v>Mar</v>
      </c>
      <c r="D221">
        <v>2023</v>
      </c>
      <c r="E221" t="s">
        <v>234</v>
      </c>
      <c r="F221" t="s">
        <v>11</v>
      </c>
      <c r="G221">
        <v>35</v>
      </c>
      <c r="H221" t="s">
        <v>15</v>
      </c>
      <c r="I221">
        <v>2</v>
      </c>
      <c r="J221">
        <v>301</v>
      </c>
      <c r="K221">
        <v>602</v>
      </c>
      <c r="L2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22" spans="1:12" x14ac:dyDescent="0.3">
      <c r="A222">
        <v>221</v>
      </c>
      <c r="B222" s="1">
        <v>45055</v>
      </c>
      <c r="C222" s="1" t="str">
        <f>TEXT(RetailStore[[#This Row],[Date]],"mmm")</f>
        <v>May</v>
      </c>
      <c r="D222">
        <v>2023</v>
      </c>
      <c r="E222" t="s">
        <v>235</v>
      </c>
      <c r="F222" t="s">
        <v>11</v>
      </c>
      <c r="G222">
        <v>25</v>
      </c>
      <c r="H222" t="s">
        <v>12</v>
      </c>
      <c r="I222">
        <v>1</v>
      </c>
      <c r="J222">
        <v>92</v>
      </c>
      <c r="K222">
        <v>92</v>
      </c>
      <c r="L2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23" spans="1:12" x14ac:dyDescent="0.3">
      <c r="A223">
        <v>222</v>
      </c>
      <c r="B223" s="1">
        <v>44934</v>
      </c>
      <c r="C223" s="1" t="str">
        <f>TEXT(RetailStore[[#This Row],[Date]],"mmm")</f>
        <v>Jan</v>
      </c>
      <c r="D223">
        <v>2023</v>
      </c>
      <c r="E223" t="s">
        <v>236</v>
      </c>
      <c r="F223" t="s">
        <v>18</v>
      </c>
      <c r="G223">
        <v>33</v>
      </c>
      <c r="H223" t="s">
        <v>12</v>
      </c>
      <c r="I223">
        <v>3</v>
      </c>
      <c r="J223">
        <v>33</v>
      </c>
      <c r="K223">
        <v>99</v>
      </c>
      <c r="L2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24" spans="1:12" x14ac:dyDescent="0.3">
      <c r="A224">
        <v>223</v>
      </c>
      <c r="B224" s="1">
        <v>45016</v>
      </c>
      <c r="C224" s="1" t="str">
        <f>TEXT(RetailStore[[#This Row],[Date]],"mmm")</f>
        <v>Mar</v>
      </c>
      <c r="D224">
        <v>2023</v>
      </c>
      <c r="E224" t="s">
        <v>237</v>
      </c>
      <c r="F224" t="s">
        <v>18</v>
      </c>
      <c r="G224">
        <v>21</v>
      </c>
      <c r="H224" t="s">
        <v>15</v>
      </c>
      <c r="I224">
        <v>4</v>
      </c>
      <c r="J224">
        <v>294</v>
      </c>
      <c r="K224">
        <v>1176</v>
      </c>
      <c r="L2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25" spans="1:12" x14ac:dyDescent="0.3">
      <c r="A225">
        <v>224</v>
      </c>
      <c r="B225" s="1">
        <v>44985</v>
      </c>
      <c r="C225" s="1" t="str">
        <f>TEXT(RetailStore[[#This Row],[Date]],"mmm")</f>
        <v>Feb</v>
      </c>
      <c r="D225">
        <v>2023</v>
      </c>
      <c r="E225" t="s">
        <v>238</v>
      </c>
      <c r="F225" t="s">
        <v>11</v>
      </c>
      <c r="G225">
        <v>48</v>
      </c>
      <c r="H225" t="s">
        <v>20</v>
      </c>
      <c r="I225">
        <v>3</v>
      </c>
      <c r="J225">
        <v>287</v>
      </c>
      <c r="K225">
        <v>861</v>
      </c>
      <c r="L2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26" spans="1:12" x14ac:dyDescent="0.3">
      <c r="A226">
        <v>225</v>
      </c>
      <c r="B226" s="1">
        <v>45230</v>
      </c>
      <c r="C226" s="1" t="str">
        <f>TEXT(RetailStore[[#This Row],[Date]],"mmm")</f>
        <v>Oct</v>
      </c>
      <c r="D226">
        <v>2023</v>
      </c>
      <c r="E226" t="s">
        <v>239</v>
      </c>
      <c r="F226" t="s">
        <v>11</v>
      </c>
      <c r="G226">
        <v>46</v>
      </c>
      <c r="H226" t="s">
        <v>12</v>
      </c>
      <c r="I226">
        <v>2</v>
      </c>
      <c r="J226">
        <v>339</v>
      </c>
      <c r="K226">
        <v>678</v>
      </c>
      <c r="L2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27" spans="1:12" x14ac:dyDescent="0.3">
      <c r="A227">
        <v>226</v>
      </c>
      <c r="B227" s="1">
        <v>44949</v>
      </c>
      <c r="C227" s="1" t="str">
        <f>TEXT(RetailStore[[#This Row],[Date]],"mmm")</f>
        <v>Jan</v>
      </c>
      <c r="D227">
        <v>2023</v>
      </c>
      <c r="E227" t="s">
        <v>240</v>
      </c>
      <c r="F227" t="s">
        <v>18</v>
      </c>
      <c r="G227">
        <v>47</v>
      </c>
      <c r="H227" t="s">
        <v>12</v>
      </c>
      <c r="I227">
        <v>1</v>
      </c>
      <c r="J227">
        <v>56</v>
      </c>
      <c r="K227">
        <v>56</v>
      </c>
      <c r="L2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28" spans="1:12" x14ac:dyDescent="0.3">
      <c r="A228">
        <v>227</v>
      </c>
      <c r="B228" s="1">
        <v>45172</v>
      </c>
      <c r="C228" s="1" t="str">
        <f>TEXT(RetailStore[[#This Row],[Date]],"mmm")</f>
        <v>Sep</v>
      </c>
      <c r="D228">
        <v>2023</v>
      </c>
      <c r="E228" t="s">
        <v>241</v>
      </c>
      <c r="F228" t="s">
        <v>18</v>
      </c>
      <c r="G228">
        <v>45</v>
      </c>
      <c r="H228" t="s">
        <v>12</v>
      </c>
      <c r="I228">
        <v>1</v>
      </c>
      <c r="J228">
        <v>276</v>
      </c>
      <c r="K228">
        <v>276</v>
      </c>
      <c r="L2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29" spans="1:12" x14ac:dyDescent="0.3">
      <c r="A229">
        <v>228</v>
      </c>
      <c r="B229" s="1">
        <v>45291</v>
      </c>
      <c r="C229" s="1" t="str">
        <f>TEXT(RetailStore[[#This Row],[Date]],"mmm")</f>
        <v>Dec</v>
      </c>
      <c r="D229">
        <v>2023</v>
      </c>
      <c r="E229" t="s">
        <v>242</v>
      </c>
      <c r="F229" t="s">
        <v>18</v>
      </c>
      <c r="G229">
        <v>22</v>
      </c>
      <c r="H229" t="s">
        <v>15</v>
      </c>
      <c r="I229">
        <v>3</v>
      </c>
      <c r="J229">
        <v>336</v>
      </c>
      <c r="K229">
        <v>1008</v>
      </c>
      <c r="L2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30" spans="1:12" x14ac:dyDescent="0.3">
      <c r="A230">
        <v>229</v>
      </c>
      <c r="B230" s="1">
        <v>45002</v>
      </c>
      <c r="C230" s="1" t="str">
        <f>TEXT(RetailStore[[#This Row],[Date]],"mmm")</f>
        <v>Mar</v>
      </c>
      <c r="D230">
        <v>2023</v>
      </c>
      <c r="E230" t="s">
        <v>243</v>
      </c>
      <c r="F230" t="s">
        <v>11</v>
      </c>
      <c r="G230">
        <v>26</v>
      </c>
      <c r="H230" t="s">
        <v>20</v>
      </c>
      <c r="I230">
        <v>3</v>
      </c>
      <c r="J230">
        <v>220</v>
      </c>
      <c r="K230">
        <v>660</v>
      </c>
      <c r="L2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31" spans="1:12" x14ac:dyDescent="0.3">
      <c r="A231">
        <v>230</v>
      </c>
      <c r="B231" s="1">
        <v>45232</v>
      </c>
      <c r="C231" s="1" t="str">
        <f>TEXT(RetailStore[[#This Row],[Date]],"mmm")</f>
        <v>Nov</v>
      </c>
      <c r="D231">
        <v>2023</v>
      </c>
      <c r="E231" t="s">
        <v>244</v>
      </c>
      <c r="F231" t="s">
        <v>18</v>
      </c>
      <c r="G231">
        <v>47</v>
      </c>
      <c r="H231" t="s">
        <v>12</v>
      </c>
      <c r="I231">
        <v>4</v>
      </c>
      <c r="J231">
        <v>75</v>
      </c>
      <c r="K231">
        <v>300</v>
      </c>
      <c r="L2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32" spans="1:12" x14ac:dyDescent="0.3">
      <c r="A232">
        <v>231</v>
      </c>
      <c r="B232" s="1">
        <v>45286</v>
      </c>
      <c r="C232" s="1" t="str">
        <f>TEXT(RetailStore[[#This Row],[Date]],"mmm")</f>
        <v>Dec</v>
      </c>
      <c r="D232">
        <v>2023</v>
      </c>
      <c r="E232" t="s">
        <v>245</v>
      </c>
      <c r="F232" t="s">
        <v>11</v>
      </c>
      <c r="G232">
        <v>59</v>
      </c>
      <c r="H232" t="s">
        <v>12</v>
      </c>
      <c r="I232">
        <v>2</v>
      </c>
      <c r="J232">
        <v>245</v>
      </c>
      <c r="K232">
        <v>490</v>
      </c>
      <c r="L2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33" spans="1:12" x14ac:dyDescent="0.3">
      <c r="A233">
        <v>232</v>
      </c>
      <c r="B233" s="1">
        <v>45158</v>
      </c>
      <c r="C233" s="1" t="str">
        <f>TEXT(RetailStore[[#This Row],[Date]],"mmm")</f>
        <v>Aug</v>
      </c>
      <c r="D233">
        <v>2023</v>
      </c>
      <c r="E233" t="s">
        <v>246</v>
      </c>
      <c r="F233" t="s">
        <v>11</v>
      </c>
      <c r="G233">
        <v>44</v>
      </c>
      <c r="H233" t="s">
        <v>20</v>
      </c>
      <c r="I233">
        <v>4</v>
      </c>
      <c r="J233">
        <v>229</v>
      </c>
      <c r="K233">
        <v>916</v>
      </c>
      <c r="L2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34" spans="1:12" x14ac:dyDescent="0.3">
      <c r="A234">
        <v>233</v>
      </c>
      <c r="B234" s="1">
        <v>45139</v>
      </c>
      <c r="C234" s="1" t="str">
        <f>TEXT(RetailStore[[#This Row],[Date]],"mmm")</f>
        <v>Aug</v>
      </c>
      <c r="D234">
        <v>2023</v>
      </c>
      <c r="E234" t="s">
        <v>247</v>
      </c>
      <c r="F234" t="s">
        <v>11</v>
      </c>
      <c r="G234">
        <v>38</v>
      </c>
      <c r="H234" t="s">
        <v>20</v>
      </c>
      <c r="I234">
        <v>3</v>
      </c>
      <c r="J234">
        <v>365</v>
      </c>
      <c r="K234">
        <v>1095</v>
      </c>
      <c r="L2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35" spans="1:12" x14ac:dyDescent="0.3">
      <c r="A235">
        <v>234</v>
      </c>
      <c r="B235" s="1">
        <v>45057</v>
      </c>
      <c r="C235" s="1" t="str">
        <f>TEXT(RetailStore[[#This Row],[Date]],"mmm")</f>
        <v>May</v>
      </c>
      <c r="D235">
        <v>2023</v>
      </c>
      <c r="E235" t="s">
        <v>248</v>
      </c>
      <c r="F235" t="s">
        <v>18</v>
      </c>
      <c r="G235">
        <v>27</v>
      </c>
      <c r="H235" t="s">
        <v>12</v>
      </c>
      <c r="I235">
        <v>4</v>
      </c>
      <c r="J235">
        <v>59</v>
      </c>
      <c r="K235">
        <v>236</v>
      </c>
      <c r="L2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36" spans="1:12" x14ac:dyDescent="0.3">
      <c r="A236">
        <v>235</v>
      </c>
      <c r="B236" s="1">
        <v>44973</v>
      </c>
      <c r="C236" s="1" t="str">
        <f>TEXT(RetailStore[[#This Row],[Date]],"mmm")</f>
        <v>Feb</v>
      </c>
      <c r="D236">
        <v>2023</v>
      </c>
      <c r="E236" t="s">
        <v>249</v>
      </c>
      <c r="F236" t="s">
        <v>11</v>
      </c>
      <c r="G236">
        <v>23</v>
      </c>
      <c r="H236" t="s">
        <v>20</v>
      </c>
      <c r="I236">
        <v>1</v>
      </c>
      <c r="J236">
        <v>406</v>
      </c>
      <c r="K236">
        <v>406</v>
      </c>
      <c r="L2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37" spans="1:12" x14ac:dyDescent="0.3">
      <c r="A237">
        <v>236</v>
      </c>
      <c r="B237" s="1">
        <v>45117</v>
      </c>
      <c r="C237" s="1" t="str">
        <f>TEXT(RetailStore[[#This Row],[Date]],"mmm")</f>
        <v>Jul</v>
      </c>
      <c r="D237">
        <v>2023</v>
      </c>
      <c r="E237" t="s">
        <v>250</v>
      </c>
      <c r="F237" t="s">
        <v>11</v>
      </c>
      <c r="G237">
        <v>53</v>
      </c>
      <c r="H237" t="s">
        <v>15</v>
      </c>
      <c r="I237">
        <v>3</v>
      </c>
      <c r="J237">
        <v>368</v>
      </c>
      <c r="K237">
        <v>1104</v>
      </c>
      <c r="L2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38" spans="1:12" x14ac:dyDescent="0.3">
      <c r="A238">
        <v>237</v>
      </c>
      <c r="B238" s="1">
        <v>44989</v>
      </c>
      <c r="C238" s="1" t="str">
        <f>TEXT(RetailStore[[#This Row],[Date]],"mmm")</f>
        <v>Mar</v>
      </c>
      <c r="D238">
        <v>2023</v>
      </c>
      <c r="E238" t="s">
        <v>251</v>
      </c>
      <c r="F238" t="s">
        <v>18</v>
      </c>
      <c r="G238">
        <v>40</v>
      </c>
      <c r="H238" t="s">
        <v>12</v>
      </c>
      <c r="I238">
        <v>4</v>
      </c>
      <c r="J238">
        <v>469</v>
      </c>
      <c r="K238">
        <v>1876</v>
      </c>
      <c r="L2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39" spans="1:12" x14ac:dyDescent="0.3">
      <c r="A239">
        <v>238</v>
      </c>
      <c r="B239" s="1">
        <v>44953</v>
      </c>
      <c r="C239" s="1" t="str">
        <f>TEXT(RetailStore[[#This Row],[Date]],"mmm")</f>
        <v>Jan</v>
      </c>
      <c r="D239">
        <v>2023</v>
      </c>
      <c r="E239" t="s">
        <v>252</v>
      </c>
      <c r="F239" t="s">
        <v>18</v>
      </c>
      <c r="G239">
        <v>56</v>
      </c>
      <c r="H239" t="s">
        <v>20</v>
      </c>
      <c r="I239">
        <v>3</v>
      </c>
      <c r="J239">
        <v>78</v>
      </c>
      <c r="K239">
        <v>234</v>
      </c>
      <c r="L2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40" spans="1:12" x14ac:dyDescent="0.3">
      <c r="A240">
        <v>239</v>
      </c>
      <c r="B240" s="1">
        <v>45222</v>
      </c>
      <c r="C240" s="1" t="str">
        <f>TEXT(RetailStore[[#This Row],[Date]],"mmm")</f>
        <v>Oct</v>
      </c>
      <c r="D240">
        <v>2023</v>
      </c>
      <c r="E240" t="s">
        <v>253</v>
      </c>
      <c r="F240" t="s">
        <v>11</v>
      </c>
      <c r="G240">
        <v>27</v>
      </c>
      <c r="H240" t="s">
        <v>12</v>
      </c>
      <c r="I240">
        <v>4</v>
      </c>
      <c r="J240">
        <v>139</v>
      </c>
      <c r="K240">
        <v>556</v>
      </c>
      <c r="L2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41" spans="1:12" x14ac:dyDescent="0.3">
      <c r="A241">
        <v>240</v>
      </c>
      <c r="B241" s="1">
        <v>44982</v>
      </c>
      <c r="C241" s="1" t="str">
        <f>TEXT(RetailStore[[#This Row],[Date]],"mmm")</f>
        <v>Feb</v>
      </c>
      <c r="D241">
        <v>2023</v>
      </c>
      <c r="E241" t="s">
        <v>254</v>
      </c>
      <c r="F241" t="s">
        <v>18</v>
      </c>
      <c r="G241">
        <v>53</v>
      </c>
      <c r="H241" t="s">
        <v>20</v>
      </c>
      <c r="I241">
        <v>1</v>
      </c>
      <c r="J241">
        <v>415</v>
      </c>
      <c r="K241">
        <v>415</v>
      </c>
      <c r="L2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42" spans="1:12" x14ac:dyDescent="0.3">
      <c r="A242">
        <v>241</v>
      </c>
      <c r="B242" s="1">
        <v>45069</v>
      </c>
      <c r="C242" s="1" t="str">
        <f>TEXT(RetailStore[[#This Row],[Date]],"mmm")</f>
        <v>May</v>
      </c>
      <c r="D242">
        <v>2023</v>
      </c>
      <c r="E242" t="s">
        <v>255</v>
      </c>
      <c r="F242" t="s">
        <v>11</v>
      </c>
      <c r="G242">
        <v>45</v>
      </c>
      <c r="H242" t="s">
        <v>12</v>
      </c>
      <c r="I242">
        <v>1</v>
      </c>
      <c r="J242">
        <v>336</v>
      </c>
      <c r="K242">
        <v>336</v>
      </c>
      <c r="L2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43" spans="1:12" x14ac:dyDescent="0.3">
      <c r="A243">
        <v>242</v>
      </c>
      <c r="B243" s="1">
        <v>45263</v>
      </c>
      <c r="C243" s="1" t="str">
        <f>TEXT(RetailStore[[#This Row],[Date]],"mmm")</f>
        <v>Dec</v>
      </c>
      <c r="D243">
        <v>2023</v>
      </c>
      <c r="E243" t="s">
        <v>256</v>
      </c>
      <c r="F243" t="s">
        <v>18</v>
      </c>
      <c r="G243">
        <v>19</v>
      </c>
      <c r="H243" t="s">
        <v>15</v>
      </c>
      <c r="I243">
        <v>3</v>
      </c>
      <c r="J243">
        <v>384</v>
      </c>
      <c r="K243">
        <v>1152</v>
      </c>
      <c r="L2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44" spans="1:12" x14ac:dyDescent="0.3">
      <c r="A244">
        <v>243</v>
      </c>
      <c r="B244" s="1">
        <v>45085</v>
      </c>
      <c r="C244" s="1" t="str">
        <f>TEXT(RetailStore[[#This Row],[Date]],"mmm")</f>
        <v>Jun</v>
      </c>
      <c r="D244">
        <v>2023</v>
      </c>
      <c r="E244" t="s">
        <v>257</v>
      </c>
      <c r="F244" t="s">
        <v>18</v>
      </c>
      <c r="G244">
        <v>40</v>
      </c>
      <c r="H244" t="s">
        <v>15</v>
      </c>
      <c r="I244">
        <v>2</v>
      </c>
      <c r="J244">
        <v>470</v>
      </c>
      <c r="K244">
        <v>940</v>
      </c>
      <c r="L2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45" spans="1:12" x14ac:dyDescent="0.3">
      <c r="A245">
        <v>244</v>
      </c>
      <c r="B245" s="1">
        <v>45000</v>
      </c>
      <c r="C245" s="1" t="str">
        <f>TEXT(RetailStore[[#This Row],[Date]],"mmm")</f>
        <v>Mar</v>
      </c>
      <c r="D245">
        <v>2023</v>
      </c>
      <c r="E245" t="s">
        <v>258</v>
      </c>
      <c r="F245" t="s">
        <v>18</v>
      </c>
      <c r="G245">
        <v>22</v>
      </c>
      <c r="H245" t="s">
        <v>15</v>
      </c>
      <c r="I245">
        <v>1</v>
      </c>
      <c r="J245">
        <v>71</v>
      </c>
      <c r="K245">
        <v>71</v>
      </c>
      <c r="L2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46" spans="1:12" x14ac:dyDescent="0.3">
      <c r="A246">
        <v>245</v>
      </c>
      <c r="B246" s="1">
        <v>45198</v>
      </c>
      <c r="C246" s="1" t="str">
        <f>TEXT(RetailStore[[#This Row],[Date]],"mmm")</f>
        <v>Sep</v>
      </c>
      <c r="D246">
        <v>2023</v>
      </c>
      <c r="E246" t="s">
        <v>259</v>
      </c>
      <c r="F246" t="s">
        <v>11</v>
      </c>
      <c r="G246">
        <v>42</v>
      </c>
      <c r="H246" t="s">
        <v>20</v>
      </c>
      <c r="I246">
        <v>4</v>
      </c>
      <c r="J246">
        <v>199</v>
      </c>
      <c r="K246">
        <v>796</v>
      </c>
      <c r="L2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47" spans="1:12" x14ac:dyDescent="0.3">
      <c r="A247">
        <v>246</v>
      </c>
      <c r="B247" s="1">
        <v>45007</v>
      </c>
      <c r="C247" s="1" t="str">
        <f>TEXT(RetailStore[[#This Row],[Date]],"mmm")</f>
        <v>Mar</v>
      </c>
      <c r="D247">
        <v>2023</v>
      </c>
      <c r="E247" t="s">
        <v>260</v>
      </c>
      <c r="F247" t="s">
        <v>18</v>
      </c>
      <c r="G247">
        <v>37</v>
      </c>
      <c r="H247" t="s">
        <v>12</v>
      </c>
      <c r="I247">
        <v>3</v>
      </c>
      <c r="J247">
        <v>422</v>
      </c>
      <c r="K247">
        <v>1266</v>
      </c>
      <c r="L2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48" spans="1:12" x14ac:dyDescent="0.3">
      <c r="A248">
        <v>247</v>
      </c>
      <c r="B248" s="1">
        <v>45217</v>
      </c>
      <c r="C248" s="1" t="str">
        <f>TEXT(RetailStore[[#This Row],[Date]],"mmm")</f>
        <v>Oct</v>
      </c>
      <c r="D248">
        <v>2023</v>
      </c>
      <c r="E248" t="s">
        <v>261</v>
      </c>
      <c r="F248" t="s">
        <v>11</v>
      </c>
      <c r="G248">
        <v>21</v>
      </c>
      <c r="H248" t="s">
        <v>15</v>
      </c>
      <c r="I248">
        <v>2</v>
      </c>
      <c r="J248">
        <v>411</v>
      </c>
      <c r="K248">
        <v>822</v>
      </c>
      <c r="L2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49" spans="1:12" x14ac:dyDescent="0.3">
      <c r="A249">
        <v>248</v>
      </c>
      <c r="B249" s="1">
        <v>45243</v>
      </c>
      <c r="C249" s="1" t="str">
        <f>TEXT(RetailStore[[#This Row],[Date]],"mmm")</f>
        <v>Nov</v>
      </c>
      <c r="D249">
        <v>2023</v>
      </c>
      <c r="E249" t="s">
        <v>262</v>
      </c>
      <c r="F249" t="s">
        <v>11</v>
      </c>
      <c r="G249">
        <v>61</v>
      </c>
      <c r="H249" t="s">
        <v>15</v>
      </c>
      <c r="I249">
        <v>3</v>
      </c>
      <c r="J249">
        <v>251</v>
      </c>
      <c r="K249">
        <v>753</v>
      </c>
      <c r="L2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50" spans="1:12" x14ac:dyDescent="0.3">
      <c r="A250">
        <v>249</v>
      </c>
      <c r="B250" s="1">
        <v>45265</v>
      </c>
      <c r="C250" s="1" t="str">
        <f>TEXT(RetailStore[[#This Row],[Date]],"mmm")</f>
        <v>Dec</v>
      </c>
      <c r="D250">
        <v>2023</v>
      </c>
      <c r="E250" t="s">
        <v>263</v>
      </c>
      <c r="F250" t="s">
        <v>18</v>
      </c>
      <c r="G250">
        <v>49</v>
      </c>
      <c r="H250" t="s">
        <v>12</v>
      </c>
      <c r="I250">
        <v>4</v>
      </c>
      <c r="J250">
        <v>237</v>
      </c>
      <c r="K250">
        <v>948</v>
      </c>
      <c r="L2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51" spans="1:12" x14ac:dyDescent="0.3">
      <c r="A251">
        <v>250</v>
      </c>
      <c r="B251" s="1">
        <v>45066</v>
      </c>
      <c r="C251" s="1" t="str">
        <f>TEXT(RetailStore[[#This Row],[Date]],"mmm")</f>
        <v>May</v>
      </c>
      <c r="D251">
        <v>2023</v>
      </c>
      <c r="E251" t="s">
        <v>264</v>
      </c>
      <c r="F251" t="s">
        <v>11</v>
      </c>
      <c r="G251">
        <v>50</v>
      </c>
      <c r="H251" t="s">
        <v>15</v>
      </c>
      <c r="I251">
        <v>3</v>
      </c>
      <c r="J251">
        <v>245</v>
      </c>
      <c r="K251">
        <v>735</v>
      </c>
      <c r="L2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52" spans="1:12" x14ac:dyDescent="0.3">
      <c r="A252">
        <v>251</v>
      </c>
      <c r="B252" s="1">
        <v>44983</v>
      </c>
      <c r="C252" s="1" t="str">
        <f>TEXT(RetailStore[[#This Row],[Date]],"mmm")</f>
        <v>Feb</v>
      </c>
      <c r="D252">
        <v>2023</v>
      </c>
      <c r="E252" t="s">
        <v>265</v>
      </c>
      <c r="F252" t="s">
        <v>18</v>
      </c>
      <c r="G252">
        <v>61</v>
      </c>
      <c r="H252" t="s">
        <v>12</v>
      </c>
      <c r="I252">
        <v>4</v>
      </c>
      <c r="J252">
        <v>294</v>
      </c>
      <c r="K252">
        <v>1176</v>
      </c>
      <c r="L2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53" spans="1:12" x14ac:dyDescent="0.3">
      <c r="A253">
        <v>252</v>
      </c>
      <c r="B253" s="1">
        <v>45268</v>
      </c>
      <c r="C253" s="1" t="str">
        <f>TEXT(RetailStore[[#This Row],[Date]],"mmm")</f>
        <v>Dec</v>
      </c>
      <c r="D253">
        <v>2023</v>
      </c>
      <c r="E253" t="s">
        <v>266</v>
      </c>
      <c r="F253" t="s">
        <v>18</v>
      </c>
      <c r="G253">
        <v>20</v>
      </c>
      <c r="H253" t="s">
        <v>15</v>
      </c>
      <c r="I253">
        <v>4</v>
      </c>
      <c r="J253">
        <v>331</v>
      </c>
      <c r="K253">
        <v>1324</v>
      </c>
      <c r="L2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54" spans="1:12" x14ac:dyDescent="0.3">
      <c r="A254">
        <v>253</v>
      </c>
      <c r="B254" s="1">
        <v>44955</v>
      </c>
      <c r="C254" s="1" t="str">
        <f>TEXT(RetailStore[[#This Row],[Date]],"mmm")</f>
        <v>Jan</v>
      </c>
      <c r="D254">
        <v>2023</v>
      </c>
      <c r="E254" t="s">
        <v>267</v>
      </c>
      <c r="F254" t="s">
        <v>11</v>
      </c>
      <c r="G254">
        <v>31</v>
      </c>
      <c r="H254" t="s">
        <v>20</v>
      </c>
      <c r="I254">
        <v>2</v>
      </c>
      <c r="J254">
        <v>417</v>
      </c>
      <c r="K254">
        <v>834</v>
      </c>
      <c r="L2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55" spans="1:12" x14ac:dyDescent="0.3">
      <c r="A255">
        <v>254</v>
      </c>
      <c r="B255" s="1">
        <v>44997</v>
      </c>
      <c r="C255" s="1" t="str">
        <f>TEXT(RetailStore[[#This Row],[Date]],"mmm")</f>
        <v>Mar</v>
      </c>
      <c r="D255">
        <v>2023</v>
      </c>
      <c r="E255" t="s">
        <v>268</v>
      </c>
      <c r="F255" t="s">
        <v>18</v>
      </c>
      <c r="G255">
        <v>36</v>
      </c>
      <c r="H255" t="s">
        <v>20</v>
      </c>
      <c r="I255">
        <v>1</v>
      </c>
      <c r="J255">
        <v>28</v>
      </c>
      <c r="K255">
        <v>28</v>
      </c>
      <c r="L2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56" spans="1:12" x14ac:dyDescent="0.3">
      <c r="A256">
        <v>255</v>
      </c>
      <c r="B256" s="1">
        <v>45181</v>
      </c>
      <c r="C256" s="1" t="str">
        <f>TEXT(RetailStore[[#This Row],[Date]],"mmm")</f>
        <v>Sep</v>
      </c>
      <c r="D256">
        <v>2023</v>
      </c>
      <c r="E256" t="s">
        <v>269</v>
      </c>
      <c r="F256" t="s">
        <v>18</v>
      </c>
      <c r="G256">
        <v>29</v>
      </c>
      <c r="H256" t="s">
        <v>15</v>
      </c>
      <c r="I256">
        <v>4</v>
      </c>
      <c r="J256">
        <v>297</v>
      </c>
      <c r="K256">
        <v>1188</v>
      </c>
      <c r="L2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57" spans="1:12" x14ac:dyDescent="0.3">
      <c r="A257">
        <v>256</v>
      </c>
      <c r="B257" s="1">
        <v>45287</v>
      </c>
      <c r="C257" s="1" t="str">
        <f>TEXT(RetailStore[[#This Row],[Date]],"mmm")</f>
        <v>Dec</v>
      </c>
      <c r="D257">
        <v>2023</v>
      </c>
      <c r="E257" t="s">
        <v>270</v>
      </c>
      <c r="F257" t="s">
        <v>11</v>
      </c>
      <c r="G257">
        <v>50</v>
      </c>
      <c r="H257" t="s">
        <v>12</v>
      </c>
      <c r="I257">
        <v>3</v>
      </c>
      <c r="J257">
        <v>61</v>
      </c>
      <c r="K257">
        <v>183</v>
      </c>
      <c r="L2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58" spans="1:12" x14ac:dyDescent="0.3">
      <c r="A258">
        <v>257</v>
      </c>
      <c r="B258" s="1">
        <v>45130</v>
      </c>
      <c r="C258" s="1" t="str">
        <f>TEXT(RetailStore[[#This Row],[Date]],"mmm")</f>
        <v>Jul</v>
      </c>
      <c r="D258">
        <v>2023</v>
      </c>
      <c r="E258" t="s">
        <v>271</v>
      </c>
      <c r="F258" t="s">
        <v>11</v>
      </c>
      <c r="G258">
        <v>45</v>
      </c>
      <c r="H258" t="s">
        <v>15</v>
      </c>
      <c r="I258">
        <v>4</v>
      </c>
      <c r="J258">
        <v>496</v>
      </c>
      <c r="K258">
        <v>1984</v>
      </c>
      <c r="L2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59" spans="1:12" x14ac:dyDescent="0.3">
      <c r="A259">
        <v>258</v>
      </c>
      <c r="B259" s="1">
        <v>44966</v>
      </c>
      <c r="C259" s="1" t="str">
        <f>TEXT(RetailStore[[#This Row],[Date]],"mmm")</f>
        <v>Feb</v>
      </c>
      <c r="D259">
        <v>2023</v>
      </c>
      <c r="E259" t="s">
        <v>272</v>
      </c>
      <c r="F259" t="s">
        <v>18</v>
      </c>
      <c r="G259">
        <v>54</v>
      </c>
      <c r="H259" t="s">
        <v>20</v>
      </c>
      <c r="I259">
        <v>4</v>
      </c>
      <c r="J259">
        <v>388</v>
      </c>
      <c r="K259">
        <v>1552</v>
      </c>
      <c r="L2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60" spans="1:12" x14ac:dyDescent="0.3">
      <c r="A260">
        <v>259</v>
      </c>
      <c r="B260" s="1">
        <v>45254</v>
      </c>
      <c r="C260" s="1" t="str">
        <f>TEXT(RetailStore[[#This Row],[Date]],"mmm")</f>
        <v>Nov</v>
      </c>
      <c r="D260">
        <v>2023</v>
      </c>
      <c r="E260" t="s">
        <v>273</v>
      </c>
      <c r="F260" t="s">
        <v>18</v>
      </c>
      <c r="G260">
        <v>36</v>
      </c>
      <c r="H260" t="s">
        <v>15</v>
      </c>
      <c r="I260">
        <v>4</v>
      </c>
      <c r="J260">
        <v>35</v>
      </c>
      <c r="K260">
        <v>140</v>
      </c>
      <c r="L2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61" spans="1:12" x14ac:dyDescent="0.3">
      <c r="A261">
        <v>260</v>
      </c>
      <c r="B261" s="1">
        <v>45093</v>
      </c>
      <c r="C261" s="1" t="str">
        <f>TEXT(RetailStore[[#This Row],[Date]],"mmm")</f>
        <v>Jun</v>
      </c>
      <c r="D261">
        <v>2023</v>
      </c>
      <c r="E261" t="s">
        <v>274</v>
      </c>
      <c r="F261" t="s">
        <v>11</v>
      </c>
      <c r="G261">
        <v>57</v>
      </c>
      <c r="H261" t="s">
        <v>20</v>
      </c>
      <c r="I261">
        <v>3</v>
      </c>
      <c r="J261">
        <v>70</v>
      </c>
      <c r="K261">
        <v>210</v>
      </c>
      <c r="L2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62" spans="1:12" x14ac:dyDescent="0.3">
      <c r="A262">
        <v>261</v>
      </c>
      <c r="B262" s="1">
        <v>45150</v>
      </c>
      <c r="C262" s="1" t="str">
        <f>TEXT(RetailStore[[#This Row],[Date]],"mmm")</f>
        <v>Aug</v>
      </c>
      <c r="D262">
        <v>2023</v>
      </c>
      <c r="E262" t="s">
        <v>275</v>
      </c>
      <c r="F262" t="s">
        <v>11</v>
      </c>
      <c r="G262">
        <v>33</v>
      </c>
      <c r="H262" t="s">
        <v>20</v>
      </c>
      <c r="I262">
        <v>4</v>
      </c>
      <c r="J262">
        <v>293</v>
      </c>
      <c r="K262">
        <v>1172</v>
      </c>
      <c r="L2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63" spans="1:12" x14ac:dyDescent="0.3">
      <c r="A263">
        <v>262</v>
      </c>
      <c r="B263" s="1">
        <v>44967</v>
      </c>
      <c r="C263" s="1" t="str">
        <f>TEXT(RetailStore[[#This Row],[Date]],"mmm")</f>
        <v>Feb</v>
      </c>
      <c r="D263">
        <v>2023</v>
      </c>
      <c r="E263" t="s">
        <v>276</v>
      </c>
      <c r="F263" t="s">
        <v>18</v>
      </c>
      <c r="G263">
        <v>37</v>
      </c>
      <c r="H263" t="s">
        <v>12</v>
      </c>
      <c r="I263">
        <v>3</v>
      </c>
      <c r="J263">
        <v>138</v>
      </c>
      <c r="K263">
        <v>414</v>
      </c>
      <c r="L2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64" spans="1:12" x14ac:dyDescent="0.3">
      <c r="A264">
        <v>263</v>
      </c>
      <c r="B264" s="1">
        <v>45097</v>
      </c>
      <c r="C264" s="1" t="str">
        <f>TEXT(RetailStore[[#This Row],[Date]],"mmm")</f>
        <v>Jun</v>
      </c>
      <c r="D264">
        <v>2023</v>
      </c>
      <c r="E264" t="s">
        <v>277</v>
      </c>
      <c r="F264" t="s">
        <v>11</v>
      </c>
      <c r="G264">
        <v>22</v>
      </c>
      <c r="H264" t="s">
        <v>12</v>
      </c>
      <c r="I264">
        <v>1</v>
      </c>
      <c r="J264">
        <v>296</v>
      </c>
      <c r="K264">
        <v>296</v>
      </c>
      <c r="L2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65" spans="1:12" x14ac:dyDescent="0.3">
      <c r="A265">
        <v>264</v>
      </c>
      <c r="B265" s="1">
        <v>45188</v>
      </c>
      <c r="C265" s="1" t="str">
        <f>TEXT(RetailStore[[#This Row],[Date]],"mmm")</f>
        <v>Sep</v>
      </c>
      <c r="D265">
        <v>2023</v>
      </c>
      <c r="E265" t="s">
        <v>278</v>
      </c>
      <c r="F265" t="s">
        <v>11</v>
      </c>
      <c r="G265">
        <v>40</v>
      </c>
      <c r="H265" t="s">
        <v>20</v>
      </c>
      <c r="I265">
        <v>2</v>
      </c>
      <c r="J265">
        <v>145</v>
      </c>
      <c r="K265">
        <v>290</v>
      </c>
      <c r="L2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66" spans="1:12" x14ac:dyDescent="0.3">
      <c r="A266">
        <v>265</v>
      </c>
      <c r="B266" s="1">
        <v>44979</v>
      </c>
      <c r="C266" s="1" t="str">
        <f>TEXT(RetailStore[[#This Row],[Date]],"mmm")</f>
        <v>Feb</v>
      </c>
      <c r="D266">
        <v>2023</v>
      </c>
      <c r="E266" t="s">
        <v>279</v>
      </c>
      <c r="F266" t="s">
        <v>11</v>
      </c>
      <c r="G266">
        <v>34</v>
      </c>
      <c r="H266" t="s">
        <v>15</v>
      </c>
      <c r="I266">
        <v>2</v>
      </c>
      <c r="J266">
        <v>333</v>
      </c>
      <c r="K266">
        <v>666</v>
      </c>
      <c r="L2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67" spans="1:12" x14ac:dyDescent="0.3">
      <c r="A267">
        <v>266</v>
      </c>
      <c r="B267" s="1">
        <v>45005</v>
      </c>
      <c r="C267" s="1" t="str">
        <f>TEXT(RetailStore[[#This Row],[Date]],"mmm")</f>
        <v>Mar</v>
      </c>
      <c r="D267">
        <v>2023</v>
      </c>
      <c r="E267" t="s">
        <v>280</v>
      </c>
      <c r="F267" t="s">
        <v>11</v>
      </c>
      <c r="G267">
        <v>29</v>
      </c>
      <c r="H267" t="s">
        <v>12</v>
      </c>
      <c r="I267">
        <v>4</v>
      </c>
      <c r="J267">
        <v>262</v>
      </c>
      <c r="K267">
        <v>1048</v>
      </c>
      <c r="L2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68" spans="1:12" x14ac:dyDescent="0.3">
      <c r="A268">
        <v>267</v>
      </c>
      <c r="B268" s="1">
        <v>45215</v>
      </c>
      <c r="C268" s="1" t="str">
        <f>TEXT(RetailStore[[#This Row],[Date]],"mmm")</f>
        <v>Oct</v>
      </c>
      <c r="D268">
        <v>2023</v>
      </c>
      <c r="E268" t="s">
        <v>281</v>
      </c>
      <c r="F268" t="s">
        <v>18</v>
      </c>
      <c r="G268">
        <v>61</v>
      </c>
      <c r="H268" t="s">
        <v>12</v>
      </c>
      <c r="I268">
        <v>3</v>
      </c>
      <c r="J268">
        <v>467</v>
      </c>
      <c r="K268">
        <v>1401</v>
      </c>
      <c r="L2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69" spans="1:12" x14ac:dyDescent="0.3">
      <c r="A269">
        <v>268</v>
      </c>
      <c r="B269" s="1">
        <v>45248</v>
      </c>
      <c r="C269" s="1" t="str">
        <f>TEXT(RetailStore[[#This Row],[Date]],"mmm")</f>
        <v>Nov</v>
      </c>
      <c r="D269">
        <v>2023</v>
      </c>
      <c r="E269" t="s">
        <v>282</v>
      </c>
      <c r="F269" t="s">
        <v>18</v>
      </c>
      <c r="G269">
        <v>27</v>
      </c>
      <c r="H269" t="s">
        <v>20</v>
      </c>
      <c r="I269">
        <v>1</v>
      </c>
      <c r="J269">
        <v>265</v>
      </c>
      <c r="K269">
        <v>265</v>
      </c>
      <c r="L2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70" spans="1:12" x14ac:dyDescent="0.3">
      <c r="A270">
        <v>269</v>
      </c>
      <c r="B270" s="1">
        <v>45153</v>
      </c>
      <c r="C270" s="1" t="str">
        <f>TEXT(RetailStore[[#This Row],[Date]],"mmm")</f>
        <v>Aug</v>
      </c>
      <c r="D270">
        <v>2023</v>
      </c>
      <c r="E270" t="s">
        <v>283</v>
      </c>
      <c r="F270" t="s">
        <v>18</v>
      </c>
      <c r="G270">
        <v>35</v>
      </c>
      <c r="H270" t="s">
        <v>12</v>
      </c>
      <c r="I270">
        <v>1</v>
      </c>
      <c r="J270">
        <v>205</v>
      </c>
      <c r="K270">
        <v>205</v>
      </c>
      <c r="L2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71" spans="1:12" x14ac:dyDescent="0.3">
      <c r="A271">
        <v>270</v>
      </c>
      <c r="B271" s="1">
        <v>45186</v>
      </c>
      <c r="C271" s="1" t="str">
        <f>TEXT(RetailStore[[#This Row],[Date]],"mmm")</f>
        <v>Sep</v>
      </c>
      <c r="D271">
        <v>2023</v>
      </c>
      <c r="E271" t="s">
        <v>284</v>
      </c>
      <c r="F271" t="s">
        <v>11</v>
      </c>
      <c r="G271">
        <v>37</v>
      </c>
      <c r="H271" t="s">
        <v>20</v>
      </c>
      <c r="I271">
        <v>4</v>
      </c>
      <c r="J271">
        <v>44</v>
      </c>
      <c r="K271">
        <v>176</v>
      </c>
      <c r="L2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72" spans="1:12" x14ac:dyDescent="0.3">
      <c r="A272">
        <v>271</v>
      </c>
      <c r="B272" s="1">
        <v>44956</v>
      </c>
      <c r="C272" s="1" t="str">
        <f>TEXT(RetailStore[[#This Row],[Date]],"mmm")</f>
        <v>Jan</v>
      </c>
      <c r="D272">
        <v>2023</v>
      </c>
      <c r="E272" t="s">
        <v>285</v>
      </c>
      <c r="F272" t="s">
        <v>18</v>
      </c>
      <c r="G272">
        <v>36</v>
      </c>
      <c r="H272" t="s">
        <v>15</v>
      </c>
      <c r="I272">
        <v>1</v>
      </c>
      <c r="J272">
        <v>339</v>
      </c>
      <c r="K272">
        <v>339</v>
      </c>
      <c r="L2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73" spans="1:12" x14ac:dyDescent="0.3">
      <c r="A273">
        <v>272</v>
      </c>
      <c r="B273" s="1">
        <v>45231</v>
      </c>
      <c r="C273" s="1" t="str">
        <f>TEXT(RetailStore[[#This Row],[Date]],"mmm")</f>
        <v>Nov</v>
      </c>
      <c r="D273">
        <v>2023</v>
      </c>
      <c r="E273" t="s">
        <v>286</v>
      </c>
      <c r="F273" t="s">
        <v>18</v>
      </c>
      <c r="G273">
        <v>47</v>
      </c>
      <c r="H273" t="s">
        <v>12</v>
      </c>
      <c r="I273">
        <v>1</v>
      </c>
      <c r="J273">
        <v>255</v>
      </c>
      <c r="K273">
        <v>255</v>
      </c>
      <c r="L2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74" spans="1:12" x14ac:dyDescent="0.3">
      <c r="A274">
        <v>273</v>
      </c>
      <c r="B274" s="1">
        <v>45219</v>
      </c>
      <c r="C274" s="1" t="str">
        <f>TEXT(RetailStore[[#This Row],[Date]],"mmm")</f>
        <v>Oct</v>
      </c>
      <c r="D274">
        <v>2023</v>
      </c>
      <c r="E274" t="s">
        <v>287</v>
      </c>
      <c r="F274" t="s">
        <v>11</v>
      </c>
      <c r="G274">
        <v>38</v>
      </c>
      <c r="H274" t="s">
        <v>12</v>
      </c>
      <c r="I274">
        <v>4</v>
      </c>
      <c r="J274">
        <v>281</v>
      </c>
      <c r="K274">
        <v>1124</v>
      </c>
      <c r="L2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75" spans="1:12" x14ac:dyDescent="0.3">
      <c r="A275">
        <v>274</v>
      </c>
      <c r="B275" s="1">
        <v>45004</v>
      </c>
      <c r="C275" s="1" t="str">
        <f>TEXT(RetailStore[[#This Row],[Date]],"mmm")</f>
        <v>Mar</v>
      </c>
      <c r="D275">
        <v>2023</v>
      </c>
      <c r="E275" t="s">
        <v>288</v>
      </c>
      <c r="F275" t="s">
        <v>11</v>
      </c>
      <c r="G275">
        <v>46</v>
      </c>
      <c r="H275" t="s">
        <v>15</v>
      </c>
      <c r="I275">
        <v>3</v>
      </c>
      <c r="J275">
        <v>390</v>
      </c>
      <c r="K275">
        <v>1170</v>
      </c>
      <c r="L2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76" spans="1:12" x14ac:dyDescent="0.3">
      <c r="A276">
        <v>275</v>
      </c>
      <c r="B276" s="1">
        <v>44970</v>
      </c>
      <c r="C276" s="1" t="str">
        <f>TEXT(RetailStore[[#This Row],[Date]],"mmm")</f>
        <v>Feb</v>
      </c>
      <c r="D276">
        <v>2023</v>
      </c>
      <c r="E276" t="s">
        <v>289</v>
      </c>
      <c r="F276" t="s">
        <v>11</v>
      </c>
      <c r="G276">
        <v>20</v>
      </c>
      <c r="H276" t="s">
        <v>15</v>
      </c>
      <c r="I276">
        <v>4</v>
      </c>
      <c r="J276">
        <v>249</v>
      </c>
      <c r="K276">
        <v>996</v>
      </c>
      <c r="L2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77" spans="1:12" x14ac:dyDescent="0.3">
      <c r="A277">
        <v>276</v>
      </c>
      <c r="B277" s="1">
        <v>45195</v>
      </c>
      <c r="C277" s="1" t="str">
        <f>TEXT(RetailStore[[#This Row],[Date]],"mmm")</f>
        <v>Sep</v>
      </c>
      <c r="D277">
        <v>2023</v>
      </c>
      <c r="E277" t="s">
        <v>290</v>
      </c>
      <c r="F277" t="s">
        <v>11</v>
      </c>
      <c r="G277">
        <v>41</v>
      </c>
      <c r="H277" t="s">
        <v>20</v>
      </c>
      <c r="I277">
        <v>3</v>
      </c>
      <c r="J277">
        <v>223</v>
      </c>
      <c r="K277">
        <v>669</v>
      </c>
      <c r="L2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78" spans="1:12" x14ac:dyDescent="0.3">
      <c r="A278">
        <v>277</v>
      </c>
      <c r="B278" s="1">
        <v>45136</v>
      </c>
      <c r="C278" s="1" t="str">
        <f>TEXT(RetailStore[[#This Row],[Date]],"mmm")</f>
        <v>Jul</v>
      </c>
      <c r="D278">
        <v>2023</v>
      </c>
      <c r="E278" t="s">
        <v>291</v>
      </c>
      <c r="F278" t="s">
        <v>18</v>
      </c>
      <c r="G278">
        <v>61</v>
      </c>
      <c r="H278" t="s">
        <v>12</v>
      </c>
      <c r="I278">
        <v>1</v>
      </c>
      <c r="J278">
        <v>429</v>
      </c>
      <c r="K278">
        <v>429</v>
      </c>
      <c r="L2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79" spans="1:12" x14ac:dyDescent="0.3">
      <c r="A279">
        <v>278</v>
      </c>
      <c r="B279" s="1">
        <v>45250</v>
      </c>
      <c r="C279" s="1" t="str">
        <f>TEXT(RetailStore[[#This Row],[Date]],"mmm")</f>
        <v>Nov</v>
      </c>
      <c r="D279">
        <v>2023</v>
      </c>
      <c r="E279" t="s">
        <v>292</v>
      </c>
      <c r="F279" t="s">
        <v>18</v>
      </c>
      <c r="G279">
        <v>22</v>
      </c>
      <c r="H279" t="s">
        <v>20</v>
      </c>
      <c r="I279">
        <v>1</v>
      </c>
      <c r="J279">
        <v>310</v>
      </c>
      <c r="K279">
        <v>310</v>
      </c>
      <c r="L2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80" spans="1:12" x14ac:dyDescent="0.3">
      <c r="A280">
        <v>279</v>
      </c>
      <c r="B280" s="1">
        <v>45274</v>
      </c>
      <c r="C280" s="1" t="str">
        <f>TEXT(RetailStore[[#This Row],[Date]],"mmm")</f>
        <v>Dec</v>
      </c>
      <c r="D280">
        <v>2023</v>
      </c>
      <c r="E280" t="s">
        <v>293</v>
      </c>
      <c r="F280" t="s">
        <v>18</v>
      </c>
      <c r="G280">
        <v>36</v>
      </c>
      <c r="H280" t="s">
        <v>20</v>
      </c>
      <c r="I280">
        <v>2</v>
      </c>
      <c r="J280">
        <v>195</v>
      </c>
      <c r="K280">
        <v>390</v>
      </c>
      <c r="L2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81" spans="1:12" x14ac:dyDescent="0.3">
      <c r="A281">
        <v>280</v>
      </c>
      <c r="B281" s="1">
        <v>44968</v>
      </c>
      <c r="C281" s="1" t="str">
        <f>TEXT(RetailStore[[#This Row],[Date]],"mmm")</f>
        <v>Feb</v>
      </c>
      <c r="D281">
        <v>2023</v>
      </c>
      <c r="E281" t="s">
        <v>294</v>
      </c>
      <c r="F281" t="s">
        <v>11</v>
      </c>
      <c r="G281">
        <v>40</v>
      </c>
      <c r="H281" t="s">
        <v>20</v>
      </c>
      <c r="I281">
        <v>4</v>
      </c>
      <c r="J281">
        <v>91</v>
      </c>
      <c r="K281">
        <v>364</v>
      </c>
      <c r="L2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82" spans="1:12" x14ac:dyDescent="0.3">
      <c r="A282">
        <v>281</v>
      </c>
      <c r="B282" s="1">
        <v>45231</v>
      </c>
      <c r="C282" s="1" t="str">
        <f>TEXT(RetailStore[[#This Row],[Date]],"mmm")</f>
        <v>Nov</v>
      </c>
      <c r="D282">
        <v>2023</v>
      </c>
      <c r="E282" t="s">
        <v>295</v>
      </c>
      <c r="F282" t="s">
        <v>11</v>
      </c>
      <c r="G282">
        <v>37</v>
      </c>
      <c r="H282" t="s">
        <v>12</v>
      </c>
      <c r="I282">
        <v>4</v>
      </c>
      <c r="J282">
        <v>354</v>
      </c>
      <c r="K282">
        <v>1416</v>
      </c>
      <c r="L2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83" spans="1:12" x14ac:dyDescent="0.3">
      <c r="A283">
        <v>282</v>
      </c>
      <c r="B283" s="1">
        <v>45095</v>
      </c>
      <c r="C283" s="1" t="str">
        <f>TEXT(RetailStore[[#This Row],[Date]],"mmm")</f>
        <v>Jun</v>
      </c>
      <c r="D283">
        <v>2023</v>
      </c>
      <c r="E283" t="s">
        <v>296</v>
      </c>
      <c r="F283" t="s">
        <v>11</v>
      </c>
      <c r="G283">
        <v>60</v>
      </c>
      <c r="H283" t="s">
        <v>12</v>
      </c>
      <c r="I283">
        <v>1</v>
      </c>
      <c r="J283">
        <v>355</v>
      </c>
      <c r="K283">
        <v>355</v>
      </c>
      <c r="L2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84" spans="1:12" x14ac:dyDescent="0.3">
      <c r="A284">
        <v>283</v>
      </c>
      <c r="B284" s="1">
        <v>45270</v>
      </c>
      <c r="C284" s="1" t="str">
        <f>TEXT(RetailStore[[#This Row],[Date]],"mmm")</f>
        <v>Dec</v>
      </c>
      <c r="D284">
        <v>2023</v>
      </c>
      <c r="E284" t="s">
        <v>297</v>
      </c>
      <c r="F284" t="s">
        <v>18</v>
      </c>
      <c r="G284">
        <v>50</v>
      </c>
      <c r="H284" t="s">
        <v>20</v>
      </c>
      <c r="I284">
        <v>1</v>
      </c>
      <c r="J284">
        <v>210</v>
      </c>
      <c r="K284">
        <v>210</v>
      </c>
      <c r="L2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85" spans="1:12" x14ac:dyDescent="0.3">
      <c r="A285">
        <v>284</v>
      </c>
      <c r="B285" s="1">
        <v>45085</v>
      </c>
      <c r="C285" s="1" t="str">
        <f>TEXT(RetailStore[[#This Row],[Date]],"mmm")</f>
        <v>Jun</v>
      </c>
      <c r="D285">
        <v>2023</v>
      </c>
      <c r="E285" t="s">
        <v>298</v>
      </c>
      <c r="F285" t="s">
        <v>11</v>
      </c>
      <c r="G285">
        <v>31</v>
      </c>
      <c r="H285" t="s">
        <v>20</v>
      </c>
      <c r="I285">
        <v>4</v>
      </c>
      <c r="J285">
        <v>123</v>
      </c>
      <c r="K285">
        <v>492</v>
      </c>
      <c r="L2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86" spans="1:12" x14ac:dyDescent="0.3">
      <c r="A286">
        <v>285</v>
      </c>
      <c r="B286" s="1">
        <v>45042</v>
      </c>
      <c r="C286" s="1" t="str">
        <f>TEXT(RetailStore[[#This Row],[Date]],"mmm")</f>
        <v>Apr</v>
      </c>
      <c r="D286">
        <v>2023</v>
      </c>
      <c r="E286" t="s">
        <v>299</v>
      </c>
      <c r="F286" t="s">
        <v>11</v>
      </c>
      <c r="G286">
        <v>27</v>
      </c>
      <c r="H286" t="s">
        <v>15</v>
      </c>
      <c r="I286">
        <v>3</v>
      </c>
      <c r="J286">
        <v>457</v>
      </c>
      <c r="K286">
        <v>1371</v>
      </c>
      <c r="L2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87" spans="1:12" x14ac:dyDescent="0.3">
      <c r="A287">
        <v>286</v>
      </c>
      <c r="B287" s="1">
        <v>44978</v>
      </c>
      <c r="C287" s="1" t="str">
        <f>TEXT(RetailStore[[#This Row],[Date]],"mmm")</f>
        <v>Feb</v>
      </c>
      <c r="D287">
        <v>2023</v>
      </c>
      <c r="E287" t="s">
        <v>300</v>
      </c>
      <c r="F287" t="s">
        <v>11</v>
      </c>
      <c r="G287">
        <v>60</v>
      </c>
      <c r="H287" t="s">
        <v>20</v>
      </c>
      <c r="I287">
        <v>2</v>
      </c>
      <c r="J287">
        <v>330</v>
      </c>
      <c r="K287">
        <v>660</v>
      </c>
      <c r="L2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88" spans="1:12" x14ac:dyDescent="0.3">
      <c r="A288">
        <v>287</v>
      </c>
      <c r="B288" s="1">
        <v>45119</v>
      </c>
      <c r="C288" s="1" t="str">
        <f>TEXT(RetailStore[[#This Row],[Date]],"mmm")</f>
        <v>Jul</v>
      </c>
      <c r="D288">
        <v>2023</v>
      </c>
      <c r="E288" t="s">
        <v>301</v>
      </c>
      <c r="F288" t="s">
        <v>11</v>
      </c>
      <c r="G288">
        <v>28</v>
      </c>
      <c r="H288" t="s">
        <v>15</v>
      </c>
      <c r="I288">
        <v>2</v>
      </c>
      <c r="J288">
        <v>394</v>
      </c>
      <c r="K288">
        <v>788</v>
      </c>
      <c r="L2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89" spans="1:12" x14ac:dyDescent="0.3">
      <c r="A289">
        <v>288</v>
      </c>
      <c r="B289" s="1">
        <v>45151</v>
      </c>
      <c r="C289" s="1" t="str">
        <f>TEXT(RetailStore[[#This Row],[Date]],"mmm")</f>
        <v>Aug</v>
      </c>
      <c r="D289">
        <v>2023</v>
      </c>
      <c r="E289" t="s">
        <v>302</v>
      </c>
      <c r="F289" t="s">
        <v>11</v>
      </c>
      <c r="G289">
        <v>44</v>
      </c>
      <c r="H289" t="s">
        <v>20</v>
      </c>
      <c r="I289">
        <v>2</v>
      </c>
      <c r="J289">
        <v>252</v>
      </c>
      <c r="K289">
        <v>504</v>
      </c>
      <c r="L2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0" spans="1:12" x14ac:dyDescent="0.3">
      <c r="A290">
        <v>289</v>
      </c>
      <c r="B290" s="1">
        <v>45239</v>
      </c>
      <c r="C290" s="1" t="str">
        <f>TEXT(RetailStore[[#This Row],[Date]],"mmm")</f>
        <v>Nov</v>
      </c>
      <c r="D290">
        <v>2023</v>
      </c>
      <c r="E290" t="s">
        <v>303</v>
      </c>
      <c r="F290" t="s">
        <v>18</v>
      </c>
      <c r="G290">
        <v>46</v>
      </c>
      <c r="H290" t="s">
        <v>15</v>
      </c>
      <c r="I290">
        <v>2</v>
      </c>
      <c r="J290">
        <v>183</v>
      </c>
      <c r="K290">
        <v>366</v>
      </c>
      <c r="L2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91" spans="1:12" x14ac:dyDescent="0.3">
      <c r="A291">
        <v>290</v>
      </c>
      <c r="B291" s="1">
        <v>45167</v>
      </c>
      <c r="C291" s="1" t="str">
        <f>TEXT(RetailStore[[#This Row],[Date]],"mmm")</f>
        <v>Aug</v>
      </c>
      <c r="D291">
        <v>2023</v>
      </c>
      <c r="E291" t="s">
        <v>304</v>
      </c>
      <c r="F291" t="s">
        <v>11</v>
      </c>
      <c r="G291">
        <v>41</v>
      </c>
      <c r="H291" t="s">
        <v>12</v>
      </c>
      <c r="I291">
        <v>4</v>
      </c>
      <c r="J291">
        <v>261</v>
      </c>
      <c r="K291">
        <v>1044</v>
      </c>
      <c r="L2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2" spans="1:12" x14ac:dyDescent="0.3">
      <c r="A292">
        <v>291</v>
      </c>
      <c r="B292" s="1">
        <v>45071</v>
      </c>
      <c r="C292" s="1" t="str">
        <f>TEXT(RetailStore[[#This Row],[Date]],"mmm")</f>
        <v>May</v>
      </c>
      <c r="D292">
        <v>2023</v>
      </c>
      <c r="E292" t="s">
        <v>305</v>
      </c>
      <c r="F292" t="s">
        <v>18</v>
      </c>
      <c r="G292">
        <v>50</v>
      </c>
      <c r="H292" t="s">
        <v>12</v>
      </c>
      <c r="I292">
        <v>4</v>
      </c>
      <c r="J292">
        <v>107</v>
      </c>
      <c r="K292">
        <v>428</v>
      </c>
      <c r="L2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93" spans="1:12" x14ac:dyDescent="0.3">
      <c r="A293">
        <v>292</v>
      </c>
      <c r="B293" s="1">
        <v>45029</v>
      </c>
      <c r="C293" s="1" t="str">
        <f>TEXT(RetailStore[[#This Row],[Date]],"mmm")</f>
        <v>Apr</v>
      </c>
      <c r="D293">
        <v>2023</v>
      </c>
      <c r="E293" t="s">
        <v>306</v>
      </c>
      <c r="F293" t="s">
        <v>11</v>
      </c>
      <c r="G293">
        <v>34</v>
      </c>
      <c r="H293" t="s">
        <v>15</v>
      </c>
      <c r="I293">
        <v>4</v>
      </c>
      <c r="J293">
        <v>472</v>
      </c>
      <c r="K293">
        <v>1888</v>
      </c>
      <c r="L2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94" spans="1:12" x14ac:dyDescent="0.3">
      <c r="A294">
        <v>293</v>
      </c>
      <c r="B294" s="1">
        <v>45117</v>
      </c>
      <c r="C294" s="1" t="str">
        <f>TEXT(RetailStore[[#This Row],[Date]],"mmm")</f>
        <v>Jul</v>
      </c>
      <c r="D294">
        <v>2023</v>
      </c>
      <c r="E294" t="s">
        <v>307</v>
      </c>
      <c r="F294" t="s">
        <v>11</v>
      </c>
      <c r="G294">
        <v>63</v>
      </c>
      <c r="H294" t="s">
        <v>12</v>
      </c>
      <c r="I294">
        <v>1</v>
      </c>
      <c r="J294">
        <v>170</v>
      </c>
      <c r="K294">
        <v>170</v>
      </c>
      <c r="L2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5" spans="1:12" x14ac:dyDescent="0.3">
      <c r="A295">
        <v>294</v>
      </c>
      <c r="B295" s="1">
        <v>44969</v>
      </c>
      <c r="C295" s="1" t="str">
        <f>TEXT(RetailStore[[#This Row],[Date]],"mmm")</f>
        <v>Feb</v>
      </c>
      <c r="D295">
        <v>2023</v>
      </c>
      <c r="E295" t="s">
        <v>308</v>
      </c>
      <c r="F295" t="s">
        <v>11</v>
      </c>
      <c r="G295">
        <v>35</v>
      </c>
      <c r="H295" t="s">
        <v>20</v>
      </c>
      <c r="I295">
        <v>2</v>
      </c>
      <c r="J295">
        <v>450</v>
      </c>
      <c r="K295">
        <v>900</v>
      </c>
      <c r="L2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96" spans="1:12" x14ac:dyDescent="0.3">
      <c r="A296">
        <v>295</v>
      </c>
      <c r="B296" s="1">
        <v>45150</v>
      </c>
      <c r="C296" s="1" t="str">
        <f>TEXT(RetailStore[[#This Row],[Date]],"mmm")</f>
        <v>Aug</v>
      </c>
      <c r="D296">
        <v>2023</v>
      </c>
      <c r="E296" t="s">
        <v>309</v>
      </c>
      <c r="F296" t="s">
        <v>11</v>
      </c>
      <c r="G296">
        <v>32</v>
      </c>
      <c r="H296" t="s">
        <v>20</v>
      </c>
      <c r="I296">
        <v>3</v>
      </c>
      <c r="J296">
        <v>38</v>
      </c>
      <c r="K296">
        <v>114</v>
      </c>
      <c r="L2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7" spans="1:12" x14ac:dyDescent="0.3">
      <c r="A297">
        <v>296</v>
      </c>
      <c r="B297" s="1">
        <v>45139</v>
      </c>
      <c r="C297" s="1" t="str">
        <f>TEXT(RetailStore[[#This Row],[Date]],"mmm")</f>
        <v>Aug</v>
      </c>
      <c r="D297">
        <v>2023</v>
      </c>
      <c r="E297" t="s">
        <v>310</v>
      </c>
      <c r="F297" t="s">
        <v>11</v>
      </c>
      <c r="G297">
        <v>43</v>
      </c>
      <c r="H297" t="s">
        <v>12</v>
      </c>
      <c r="I297">
        <v>3</v>
      </c>
      <c r="J297">
        <v>145</v>
      </c>
      <c r="K297">
        <v>435</v>
      </c>
      <c r="L2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8" spans="1:12" x14ac:dyDescent="0.3">
      <c r="A298">
        <v>297</v>
      </c>
      <c r="B298" s="1">
        <v>45124</v>
      </c>
      <c r="C298" s="1" t="str">
        <f>TEXT(RetailStore[[#This Row],[Date]],"mmm")</f>
        <v>Jul</v>
      </c>
      <c r="D298">
        <v>2023</v>
      </c>
      <c r="E298" t="s">
        <v>311</v>
      </c>
      <c r="F298" t="s">
        <v>11</v>
      </c>
      <c r="G298">
        <v>41</v>
      </c>
      <c r="H298" t="s">
        <v>15</v>
      </c>
      <c r="I298">
        <v>1</v>
      </c>
      <c r="J298">
        <v>188</v>
      </c>
      <c r="K298">
        <v>188</v>
      </c>
      <c r="L2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299" spans="1:12" x14ac:dyDescent="0.3">
      <c r="A299">
        <v>298</v>
      </c>
      <c r="B299" s="1">
        <v>44977</v>
      </c>
      <c r="C299" s="1" t="str">
        <f>TEXT(RetailStore[[#This Row],[Date]],"mmm")</f>
        <v>Feb</v>
      </c>
      <c r="D299">
        <v>2023</v>
      </c>
      <c r="E299" t="s">
        <v>312</v>
      </c>
      <c r="F299" t="s">
        <v>18</v>
      </c>
      <c r="G299">
        <v>27</v>
      </c>
      <c r="H299" t="s">
        <v>15</v>
      </c>
      <c r="I299">
        <v>1</v>
      </c>
      <c r="J299">
        <v>171</v>
      </c>
      <c r="K299">
        <v>171</v>
      </c>
      <c r="L2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00" spans="1:12" x14ac:dyDescent="0.3">
      <c r="A300">
        <v>299</v>
      </c>
      <c r="B300" s="1">
        <v>45168</v>
      </c>
      <c r="C300" s="1" t="str">
        <f>TEXT(RetailStore[[#This Row],[Date]],"mmm")</f>
        <v>Aug</v>
      </c>
      <c r="D300">
        <v>2023</v>
      </c>
      <c r="E300" t="s">
        <v>313</v>
      </c>
      <c r="F300" t="s">
        <v>11</v>
      </c>
      <c r="G300">
        <v>63</v>
      </c>
      <c r="H300" t="s">
        <v>20</v>
      </c>
      <c r="I300">
        <v>4</v>
      </c>
      <c r="J300">
        <v>340</v>
      </c>
      <c r="K300">
        <v>1360</v>
      </c>
      <c r="L3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01" spans="1:12" x14ac:dyDescent="0.3">
      <c r="A301">
        <v>300</v>
      </c>
      <c r="B301" s="1">
        <v>44929</v>
      </c>
      <c r="C301" s="1" t="str">
        <f>TEXT(RetailStore[[#This Row],[Date]],"mmm")</f>
        <v>Jan</v>
      </c>
      <c r="D301">
        <v>2023</v>
      </c>
      <c r="E301" t="s">
        <v>314</v>
      </c>
      <c r="F301" t="s">
        <v>11</v>
      </c>
      <c r="G301">
        <v>19</v>
      </c>
      <c r="H301" t="s">
        <v>20</v>
      </c>
      <c r="I301">
        <v>2</v>
      </c>
      <c r="J301">
        <v>452</v>
      </c>
      <c r="K301">
        <v>904</v>
      </c>
      <c r="L3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02" spans="1:12" x14ac:dyDescent="0.3">
      <c r="A302">
        <v>301</v>
      </c>
      <c r="B302" s="1">
        <v>45003</v>
      </c>
      <c r="C302" s="1" t="str">
        <f>TEXT(RetailStore[[#This Row],[Date]],"mmm")</f>
        <v>Mar</v>
      </c>
      <c r="D302">
        <v>2023</v>
      </c>
      <c r="E302" t="s">
        <v>315</v>
      </c>
      <c r="F302" t="s">
        <v>18</v>
      </c>
      <c r="G302">
        <v>25</v>
      </c>
      <c r="H302" t="s">
        <v>20</v>
      </c>
      <c r="I302">
        <v>2</v>
      </c>
      <c r="J302">
        <v>179</v>
      </c>
      <c r="K302">
        <v>358</v>
      </c>
      <c r="L3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03" spans="1:12" x14ac:dyDescent="0.3">
      <c r="A303">
        <v>302</v>
      </c>
      <c r="B303" s="1">
        <v>44989</v>
      </c>
      <c r="C303" s="1" t="str">
        <f>TEXT(RetailStore[[#This Row],[Date]],"mmm")</f>
        <v>Mar</v>
      </c>
      <c r="D303">
        <v>2023</v>
      </c>
      <c r="E303" t="s">
        <v>316</v>
      </c>
      <c r="F303" t="s">
        <v>11</v>
      </c>
      <c r="G303">
        <v>33</v>
      </c>
      <c r="H303" t="s">
        <v>20</v>
      </c>
      <c r="I303">
        <v>4</v>
      </c>
      <c r="J303">
        <v>57</v>
      </c>
      <c r="K303">
        <v>228</v>
      </c>
      <c r="L3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04" spans="1:12" x14ac:dyDescent="0.3">
      <c r="A304">
        <v>303</v>
      </c>
      <c r="B304" s="1">
        <v>44983</v>
      </c>
      <c r="C304" s="1" t="str">
        <f>TEXT(RetailStore[[#This Row],[Date]],"mmm")</f>
        <v>Feb</v>
      </c>
      <c r="D304">
        <v>2023</v>
      </c>
      <c r="E304" t="s">
        <v>317</v>
      </c>
      <c r="F304" t="s">
        <v>18</v>
      </c>
      <c r="G304">
        <v>56</v>
      </c>
      <c r="H304" t="s">
        <v>12</v>
      </c>
      <c r="I304">
        <v>1</v>
      </c>
      <c r="J304">
        <v>348</v>
      </c>
      <c r="K304">
        <v>348</v>
      </c>
      <c r="L3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05" spans="1:12" x14ac:dyDescent="0.3">
      <c r="A305">
        <v>304</v>
      </c>
      <c r="B305" s="1">
        <v>45190</v>
      </c>
      <c r="C305" s="1" t="str">
        <f>TEXT(RetailStore[[#This Row],[Date]],"mmm")</f>
        <v>Sep</v>
      </c>
      <c r="D305">
        <v>2023</v>
      </c>
      <c r="E305" t="s">
        <v>318</v>
      </c>
      <c r="F305" t="s">
        <v>11</v>
      </c>
      <c r="G305">
        <v>63</v>
      </c>
      <c r="H305" t="s">
        <v>15</v>
      </c>
      <c r="I305">
        <v>3</v>
      </c>
      <c r="J305">
        <v>244</v>
      </c>
      <c r="K305">
        <v>732</v>
      </c>
      <c r="L3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06" spans="1:12" x14ac:dyDescent="0.3">
      <c r="A306">
        <v>305</v>
      </c>
      <c r="B306" s="1">
        <v>44927</v>
      </c>
      <c r="C306" s="1" t="str">
        <f>TEXT(RetailStore[[#This Row],[Date]],"mmm")</f>
        <v>Jan</v>
      </c>
      <c r="D306">
        <v>2023</v>
      </c>
      <c r="E306" t="s">
        <v>319</v>
      </c>
      <c r="F306" t="s">
        <v>18</v>
      </c>
      <c r="G306">
        <v>33</v>
      </c>
      <c r="H306" t="s">
        <v>12</v>
      </c>
      <c r="I306">
        <v>4</v>
      </c>
      <c r="J306">
        <v>120</v>
      </c>
      <c r="K306">
        <v>480</v>
      </c>
      <c r="L3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07" spans="1:12" x14ac:dyDescent="0.3">
      <c r="A307">
        <v>306</v>
      </c>
      <c r="B307" s="1">
        <v>45267</v>
      </c>
      <c r="C307" s="1" t="str">
        <f>TEXT(RetailStore[[#This Row],[Date]],"mmm")</f>
        <v>Dec</v>
      </c>
      <c r="D307">
        <v>2023</v>
      </c>
      <c r="E307" t="s">
        <v>320</v>
      </c>
      <c r="F307" t="s">
        <v>11</v>
      </c>
      <c r="G307">
        <v>51</v>
      </c>
      <c r="H307" t="s">
        <v>20</v>
      </c>
      <c r="I307">
        <v>1</v>
      </c>
      <c r="J307">
        <v>294</v>
      </c>
      <c r="K307">
        <v>294</v>
      </c>
      <c r="L3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08" spans="1:12" x14ac:dyDescent="0.3">
      <c r="A308">
        <v>307</v>
      </c>
      <c r="B308" s="1">
        <v>45205</v>
      </c>
      <c r="C308" s="1" t="str">
        <f>TEXT(RetailStore[[#This Row],[Date]],"mmm")</f>
        <v>Oct</v>
      </c>
      <c r="D308">
        <v>2023</v>
      </c>
      <c r="E308" t="s">
        <v>321</v>
      </c>
      <c r="F308" t="s">
        <v>11</v>
      </c>
      <c r="G308">
        <v>42</v>
      </c>
      <c r="H308" t="s">
        <v>20</v>
      </c>
      <c r="I308">
        <v>1</v>
      </c>
      <c r="J308">
        <v>350</v>
      </c>
      <c r="K308">
        <v>350</v>
      </c>
      <c r="L3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09" spans="1:12" x14ac:dyDescent="0.3">
      <c r="A309">
        <v>308</v>
      </c>
      <c r="B309" s="1">
        <v>45125</v>
      </c>
      <c r="C309" s="1" t="str">
        <f>TEXT(RetailStore[[#This Row],[Date]],"mmm")</f>
        <v>Jul</v>
      </c>
      <c r="D309">
        <v>2023</v>
      </c>
      <c r="E309" t="s">
        <v>322</v>
      </c>
      <c r="F309" t="s">
        <v>18</v>
      </c>
      <c r="G309">
        <v>34</v>
      </c>
      <c r="H309" t="s">
        <v>12</v>
      </c>
      <c r="I309">
        <v>1</v>
      </c>
      <c r="J309">
        <v>207</v>
      </c>
      <c r="K309">
        <v>207</v>
      </c>
      <c r="L3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10" spans="1:12" x14ac:dyDescent="0.3">
      <c r="A310">
        <v>309</v>
      </c>
      <c r="B310" s="1">
        <v>44961</v>
      </c>
      <c r="C310" s="1" t="str">
        <f>TEXT(RetailStore[[#This Row],[Date]],"mmm")</f>
        <v>Feb</v>
      </c>
      <c r="D310">
        <v>2023</v>
      </c>
      <c r="E310" t="s">
        <v>323</v>
      </c>
      <c r="F310" t="s">
        <v>18</v>
      </c>
      <c r="G310">
        <v>33</v>
      </c>
      <c r="H310" t="s">
        <v>12</v>
      </c>
      <c r="I310">
        <v>1</v>
      </c>
      <c r="J310">
        <v>420</v>
      </c>
      <c r="K310">
        <v>420</v>
      </c>
      <c r="L3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11" spans="1:12" x14ac:dyDescent="0.3">
      <c r="A311">
        <v>310</v>
      </c>
      <c r="B311" s="1">
        <v>45224</v>
      </c>
      <c r="C311" s="1" t="str">
        <f>TEXT(RetailStore[[#This Row],[Date]],"mmm")</f>
        <v>Oct</v>
      </c>
      <c r="D311">
        <v>2023</v>
      </c>
      <c r="E311" t="s">
        <v>324</v>
      </c>
      <c r="F311" t="s">
        <v>18</v>
      </c>
      <c r="G311">
        <v>26</v>
      </c>
      <c r="H311" t="s">
        <v>15</v>
      </c>
      <c r="I311">
        <v>3</v>
      </c>
      <c r="J311">
        <v>304</v>
      </c>
      <c r="K311">
        <v>912</v>
      </c>
      <c r="L3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12" spans="1:12" x14ac:dyDescent="0.3">
      <c r="A312">
        <v>311</v>
      </c>
      <c r="B312" s="1">
        <v>45100</v>
      </c>
      <c r="C312" s="1" t="str">
        <f>TEXT(RetailStore[[#This Row],[Date]],"mmm")</f>
        <v>Jun</v>
      </c>
      <c r="D312">
        <v>2023</v>
      </c>
      <c r="E312" t="s">
        <v>325</v>
      </c>
      <c r="F312" t="s">
        <v>11</v>
      </c>
      <c r="G312">
        <v>61</v>
      </c>
      <c r="H312" t="s">
        <v>20</v>
      </c>
      <c r="I312">
        <v>4</v>
      </c>
      <c r="J312">
        <v>348</v>
      </c>
      <c r="K312">
        <v>1392</v>
      </c>
      <c r="L3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13" spans="1:12" x14ac:dyDescent="0.3">
      <c r="A313">
        <v>312</v>
      </c>
      <c r="B313" s="1">
        <v>45020</v>
      </c>
      <c r="C313" s="1" t="str">
        <f>TEXT(RetailStore[[#This Row],[Date]],"mmm")</f>
        <v>Apr</v>
      </c>
      <c r="D313">
        <v>2023</v>
      </c>
      <c r="E313" t="s">
        <v>326</v>
      </c>
      <c r="F313" t="s">
        <v>11</v>
      </c>
      <c r="G313">
        <v>22</v>
      </c>
      <c r="H313" t="s">
        <v>12</v>
      </c>
      <c r="I313">
        <v>4</v>
      </c>
      <c r="J313">
        <v>43</v>
      </c>
      <c r="K313">
        <v>172</v>
      </c>
      <c r="L3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14" spans="1:12" x14ac:dyDescent="0.3">
      <c r="A314">
        <v>313</v>
      </c>
      <c r="B314" s="1">
        <v>45077</v>
      </c>
      <c r="C314" s="1" t="str">
        <f>TEXT(RetailStore[[#This Row],[Date]],"mmm")</f>
        <v>May</v>
      </c>
      <c r="D314">
        <v>2023</v>
      </c>
      <c r="E314" t="s">
        <v>327</v>
      </c>
      <c r="F314" t="s">
        <v>11</v>
      </c>
      <c r="G314">
        <v>20</v>
      </c>
      <c r="H314" t="s">
        <v>15</v>
      </c>
      <c r="I314">
        <v>1</v>
      </c>
      <c r="J314">
        <v>186</v>
      </c>
      <c r="K314">
        <v>186</v>
      </c>
      <c r="L3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15" spans="1:12" x14ac:dyDescent="0.3">
      <c r="A315">
        <v>314</v>
      </c>
      <c r="B315" s="1">
        <v>45085</v>
      </c>
      <c r="C315" s="1" t="str">
        <f>TEXT(RetailStore[[#This Row],[Date]],"mmm")</f>
        <v>Jun</v>
      </c>
      <c r="D315">
        <v>2023</v>
      </c>
      <c r="E315" t="s">
        <v>328</v>
      </c>
      <c r="F315" t="s">
        <v>18</v>
      </c>
      <c r="G315">
        <v>52</v>
      </c>
      <c r="H315" t="s">
        <v>20</v>
      </c>
      <c r="I315">
        <v>3</v>
      </c>
      <c r="J315">
        <v>43</v>
      </c>
      <c r="K315">
        <v>129</v>
      </c>
      <c r="L3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16" spans="1:12" x14ac:dyDescent="0.3">
      <c r="A316">
        <v>315</v>
      </c>
      <c r="B316" s="1">
        <v>45258</v>
      </c>
      <c r="C316" s="1" t="str">
        <f>TEXT(RetailStore[[#This Row],[Date]],"mmm")</f>
        <v>Nov</v>
      </c>
      <c r="D316">
        <v>2023</v>
      </c>
      <c r="E316" t="s">
        <v>329</v>
      </c>
      <c r="F316" t="s">
        <v>11</v>
      </c>
      <c r="G316">
        <v>36</v>
      </c>
      <c r="H316" t="s">
        <v>20</v>
      </c>
      <c r="I316">
        <v>1</v>
      </c>
      <c r="J316">
        <v>468</v>
      </c>
      <c r="K316">
        <v>468</v>
      </c>
      <c r="L3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17" spans="1:12" x14ac:dyDescent="0.3">
      <c r="A317">
        <v>316</v>
      </c>
      <c r="B317" s="1">
        <v>45262</v>
      </c>
      <c r="C317" s="1" t="str">
        <f>TEXT(RetailStore[[#This Row],[Date]],"mmm")</f>
        <v>Dec</v>
      </c>
      <c r="D317">
        <v>2023</v>
      </c>
      <c r="E317" t="s">
        <v>330</v>
      </c>
      <c r="F317" t="s">
        <v>18</v>
      </c>
      <c r="G317">
        <v>35</v>
      </c>
      <c r="H317" t="s">
        <v>15</v>
      </c>
      <c r="I317">
        <v>3</v>
      </c>
      <c r="J317">
        <v>248</v>
      </c>
      <c r="K317">
        <v>744</v>
      </c>
      <c r="L3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18" spans="1:12" x14ac:dyDescent="0.3">
      <c r="A318">
        <v>317</v>
      </c>
      <c r="B318" s="1">
        <v>45131</v>
      </c>
      <c r="C318" s="1" t="str">
        <f>TEXT(RetailStore[[#This Row],[Date]],"mmm")</f>
        <v>Jul</v>
      </c>
      <c r="D318">
        <v>2023</v>
      </c>
      <c r="E318" t="s">
        <v>331</v>
      </c>
      <c r="F318" t="s">
        <v>18</v>
      </c>
      <c r="G318">
        <v>42</v>
      </c>
      <c r="H318" t="s">
        <v>20</v>
      </c>
      <c r="I318">
        <v>2</v>
      </c>
      <c r="J318">
        <v>279</v>
      </c>
      <c r="K318">
        <v>558</v>
      </c>
      <c r="L3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19" spans="1:12" x14ac:dyDescent="0.3">
      <c r="A319">
        <v>318</v>
      </c>
      <c r="B319" s="1">
        <v>45281</v>
      </c>
      <c r="C319" s="1" t="str">
        <f>TEXT(RetailStore[[#This Row],[Date]],"mmm")</f>
        <v>Dec</v>
      </c>
      <c r="D319">
        <v>2023</v>
      </c>
      <c r="E319" t="s">
        <v>332</v>
      </c>
      <c r="F319" t="s">
        <v>18</v>
      </c>
      <c r="G319">
        <v>41</v>
      </c>
      <c r="H319" t="s">
        <v>12</v>
      </c>
      <c r="I319">
        <v>3</v>
      </c>
      <c r="J319">
        <v>435</v>
      </c>
      <c r="K319">
        <v>1305</v>
      </c>
      <c r="L3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20" spans="1:12" x14ac:dyDescent="0.3">
      <c r="A320">
        <v>319</v>
      </c>
      <c r="B320" s="1">
        <v>44969</v>
      </c>
      <c r="C320" s="1" t="str">
        <f>TEXT(RetailStore[[#This Row],[Date]],"mmm")</f>
        <v>Feb</v>
      </c>
      <c r="D320">
        <v>2023</v>
      </c>
      <c r="E320" t="s">
        <v>333</v>
      </c>
      <c r="F320" t="s">
        <v>18</v>
      </c>
      <c r="G320">
        <v>23</v>
      </c>
      <c r="H320" t="s">
        <v>20</v>
      </c>
      <c r="I320">
        <v>2</v>
      </c>
      <c r="J320">
        <v>304</v>
      </c>
      <c r="K320">
        <v>608</v>
      </c>
      <c r="L3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21" spans="1:12" x14ac:dyDescent="0.3">
      <c r="A321">
        <v>320</v>
      </c>
      <c r="B321" s="1">
        <v>45077</v>
      </c>
      <c r="C321" s="1" t="str">
        <f>TEXT(RetailStore[[#This Row],[Date]],"mmm")</f>
        <v>May</v>
      </c>
      <c r="D321">
        <v>2023</v>
      </c>
      <c r="E321" t="s">
        <v>334</v>
      </c>
      <c r="F321" t="s">
        <v>18</v>
      </c>
      <c r="G321">
        <v>24</v>
      </c>
      <c r="H321" t="s">
        <v>15</v>
      </c>
      <c r="I321">
        <v>3</v>
      </c>
      <c r="J321">
        <v>363</v>
      </c>
      <c r="K321">
        <v>1089</v>
      </c>
      <c r="L3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22" spans="1:12" x14ac:dyDescent="0.3">
      <c r="A322">
        <v>321</v>
      </c>
      <c r="B322" s="1">
        <v>45078</v>
      </c>
      <c r="C322" s="1" t="str">
        <f>TEXT(RetailStore[[#This Row],[Date]],"mmm")</f>
        <v>Jun</v>
      </c>
      <c r="D322">
        <v>2023</v>
      </c>
      <c r="E322" t="s">
        <v>335</v>
      </c>
      <c r="F322" t="s">
        <v>18</v>
      </c>
      <c r="G322">
        <v>46</v>
      </c>
      <c r="H322" t="s">
        <v>12</v>
      </c>
      <c r="I322">
        <v>4</v>
      </c>
      <c r="J322">
        <v>110</v>
      </c>
      <c r="K322">
        <v>440</v>
      </c>
      <c r="L3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23" spans="1:12" x14ac:dyDescent="0.3">
      <c r="A323">
        <v>322</v>
      </c>
      <c r="B323" s="1">
        <v>45280</v>
      </c>
      <c r="C323" s="1" t="str">
        <f>TEXT(RetailStore[[#This Row],[Date]],"mmm")</f>
        <v>Dec</v>
      </c>
      <c r="D323">
        <v>2023</v>
      </c>
      <c r="E323" t="s">
        <v>336</v>
      </c>
      <c r="F323" t="s">
        <v>18</v>
      </c>
      <c r="G323">
        <v>40</v>
      </c>
      <c r="H323" t="s">
        <v>20</v>
      </c>
      <c r="I323">
        <v>1</v>
      </c>
      <c r="J323">
        <v>397</v>
      </c>
      <c r="K323">
        <v>397</v>
      </c>
      <c r="L3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24" spans="1:12" x14ac:dyDescent="0.3">
      <c r="A324">
        <v>323</v>
      </c>
      <c r="B324" s="1">
        <v>45107</v>
      </c>
      <c r="C324" s="1" t="str">
        <f>TEXT(RetailStore[[#This Row],[Date]],"mmm")</f>
        <v>Jun</v>
      </c>
      <c r="D324">
        <v>2023</v>
      </c>
      <c r="E324" t="s">
        <v>337</v>
      </c>
      <c r="F324" t="s">
        <v>18</v>
      </c>
      <c r="G324">
        <v>35</v>
      </c>
      <c r="H324" t="s">
        <v>12</v>
      </c>
      <c r="I324">
        <v>1</v>
      </c>
      <c r="J324">
        <v>63</v>
      </c>
      <c r="K324">
        <v>63</v>
      </c>
      <c r="L3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25" spans="1:12" x14ac:dyDescent="0.3">
      <c r="A325">
        <v>324</v>
      </c>
      <c r="B325" s="1">
        <v>45270</v>
      </c>
      <c r="C325" s="1" t="str">
        <f>TEXT(RetailStore[[#This Row],[Date]],"mmm")</f>
        <v>Dec</v>
      </c>
      <c r="D325">
        <v>2023</v>
      </c>
      <c r="E325" t="s">
        <v>338</v>
      </c>
      <c r="F325" t="s">
        <v>18</v>
      </c>
      <c r="G325">
        <v>41</v>
      </c>
      <c r="H325" t="s">
        <v>12</v>
      </c>
      <c r="I325">
        <v>2</v>
      </c>
      <c r="J325">
        <v>40</v>
      </c>
      <c r="K325">
        <v>80</v>
      </c>
      <c r="L3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26" spans="1:12" x14ac:dyDescent="0.3">
      <c r="A326">
        <v>325</v>
      </c>
      <c r="B326" s="1">
        <v>45000</v>
      </c>
      <c r="C326" s="1" t="str">
        <f>TEXT(RetailStore[[#This Row],[Date]],"mmm")</f>
        <v>Mar</v>
      </c>
      <c r="D326">
        <v>2023</v>
      </c>
      <c r="E326" t="s">
        <v>339</v>
      </c>
      <c r="F326" t="s">
        <v>18</v>
      </c>
      <c r="G326">
        <v>20</v>
      </c>
      <c r="H326" t="s">
        <v>15</v>
      </c>
      <c r="I326">
        <v>1</v>
      </c>
      <c r="J326">
        <v>145</v>
      </c>
      <c r="K326">
        <v>145</v>
      </c>
      <c r="L3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27" spans="1:12" x14ac:dyDescent="0.3">
      <c r="A327">
        <v>326</v>
      </c>
      <c r="B327" s="1">
        <v>45257</v>
      </c>
      <c r="C327" s="1" t="str">
        <f>TEXT(RetailStore[[#This Row],[Date]],"mmm")</f>
        <v>Nov</v>
      </c>
      <c r="D327">
        <v>2023</v>
      </c>
      <c r="E327" t="s">
        <v>340</v>
      </c>
      <c r="F327" t="s">
        <v>18</v>
      </c>
      <c r="G327">
        <v>41</v>
      </c>
      <c r="H327" t="s">
        <v>20</v>
      </c>
      <c r="I327">
        <v>1</v>
      </c>
      <c r="J327">
        <v>334</v>
      </c>
      <c r="K327">
        <v>334</v>
      </c>
      <c r="L3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28" spans="1:12" x14ac:dyDescent="0.3">
      <c r="A328">
        <v>327</v>
      </c>
      <c r="B328" s="1">
        <v>45005</v>
      </c>
      <c r="C328" s="1" t="str">
        <f>TEXT(RetailStore[[#This Row],[Date]],"mmm")</f>
        <v>Mar</v>
      </c>
      <c r="D328">
        <v>2023</v>
      </c>
      <c r="E328" t="s">
        <v>341</v>
      </c>
      <c r="F328" t="s">
        <v>18</v>
      </c>
      <c r="G328">
        <v>41</v>
      </c>
      <c r="H328" t="s">
        <v>20</v>
      </c>
      <c r="I328">
        <v>4</v>
      </c>
      <c r="J328">
        <v>415</v>
      </c>
      <c r="K328">
        <v>1660</v>
      </c>
      <c r="L3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29" spans="1:12" x14ac:dyDescent="0.3">
      <c r="A329">
        <v>328</v>
      </c>
      <c r="B329" s="1">
        <v>44966</v>
      </c>
      <c r="C329" s="1" t="str">
        <f>TEXT(RetailStore[[#This Row],[Date]],"mmm")</f>
        <v>Feb</v>
      </c>
      <c r="D329">
        <v>2023</v>
      </c>
      <c r="E329" t="s">
        <v>342</v>
      </c>
      <c r="F329" t="s">
        <v>11</v>
      </c>
      <c r="G329">
        <v>51</v>
      </c>
      <c r="H329" t="s">
        <v>20</v>
      </c>
      <c r="I329">
        <v>4</v>
      </c>
      <c r="J329">
        <v>185</v>
      </c>
      <c r="K329">
        <v>740</v>
      </c>
      <c r="L3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30" spans="1:12" x14ac:dyDescent="0.3">
      <c r="A330">
        <v>329</v>
      </c>
      <c r="B330" s="1">
        <v>45259</v>
      </c>
      <c r="C330" s="1" t="str">
        <f>TEXT(RetailStore[[#This Row],[Date]],"mmm")</f>
        <v>Nov</v>
      </c>
      <c r="D330">
        <v>2023</v>
      </c>
      <c r="E330" t="s">
        <v>343</v>
      </c>
      <c r="F330" t="s">
        <v>18</v>
      </c>
      <c r="G330">
        <v>33</v>
      </c>
      <c r="H330" t="s">
        <v>15</v>
      </c>
      <c r="I330">
        <v>1</v>
      </c>
      <c r="J330">
        <v>401</v>
      </c>
      <c r="K330">
        <v>401</v>
      </c>
      <c r="L3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31" spans="1:12" x14ac:dyDescent="0.3">
      <c r="A331">
        <v>330</v>
      </c>
      <c r="B331" s="1">
        <v>45022</v>
      </c>
      <c r="C331" s="1" t="str">
        <f>TEXT(RetailStore[[#This Row],[Date]],"mmm")</f>
        <v>Apr</v>
      </c>
      <c r="D331">
        <v>2023</v>
      </c>
      <c r="E331" t="s">
        <v>344</v>
      </c>
      <c r="F331" t="s">
        <v>18</v>
      </c>
      <c r="G331">
        <v>51</v>
      </c>
      <c r="H331" t="s">
        <v>20</v>
      </c>
      <c r="I331">
        <v>1</v>
      </c>
      <c r="J331">
        <v>159</v>
      </c>
      <c r="K331">
        <v>159</v>
      </c>
      <c r="L3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32" spans="1:12" x14ac:dyDescent="0.3">
      <c r="A332">
        <v>331</v>
      </c>
      <c r="B332" s="1">
        <v>45060</v>
      </c>
      <c r="C332" s="1" t="str">
        <f>TEXT(RetailStore[[#This Row],[Date]],"mmm")</f>
        <v>May</v>
      </c>
      <c r="D332">
        <v>2023</v>
      </c>
      <c r="E332" t="s">
        <v>345</v>
      </c>
      <c r="F332" t="s">
        <v>18</v>
      </c>
      <c r="G332">
        <v>31</v>
      </c>
      <c r="H332" t="s">
        <v>12</v>
      </c>
      <c r="I332">
        <v>3</v>
      </c>
      <c r="J332">
        <v>380</v>
      </c>
      <c r="K332">
        <v>1140</v>
      </c>
      <c r="L3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33" spans="1:12" x14ac:dyDescent="0.3">
      <c r="A333">
        <v>332</v>
      </c>
      <c r="B333" s="1">
        <v>45178</v>
      </c>
      <c r="C333" s="1" t="str">
        <f>TEXT(RetailStore[[#This Row],[Date]],"mmm")</f>
        <v>Sep</v>
      </c>
      <c r="D333">
        <v>2023</v>
      </c>
      <c r="E333" t="s">
        <v>346</v>
      </c>
      <c r="F333" t="s">
        <v>11</v>
      </c>
      <c r="G333">
        <v>25</v>
      </c>
      <c r="H333" t="s">
        <v>15</v>
      </c>
      <c r="I333">
        <v>1</v>
      </c>
      <c r="J333">
        <v>256</v>
      </c>
      <c r="K333">
        <v>256</v>
      </c>
      <c r="L3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34" spans="1:12" x14ac:dyDescent="0.3">
      <c r="A334">
        <v>333</v>
      </c>
      <c r="B334" s="1">
        <v>45015</v>
      </c>
      <c r="C334" s="1" t="str">
        <f>TEXT(RetailStore[[#This Row],[Date]],"mmm")</f>
        <v>Mar</v>
      </c>
      <c r="D334">
        <v>2023</v>
      </c>
      <c r="E334" t="s">
        <v>347</v>
      </c>
      <c r="F334" t="s">
        <v>18</v>
      </c>
      <c r="G334">
        <v>23</v>
      </c>
      <c r="H334" t="s">
        <v>12</v>
      </c>
      <c r="I334">
        <v>3</v>
      </c>
      <c r="J334">
        <v>366</v>
      </c>
      <c r="K334">
        <v>1098</v>
      </c>
      <c r="L3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35" spans="1:12" x14ac:dyDescent="0.3">
      <c r="A335">
        <v>334</v>
      </c>
      <c r="B335" s="1">
        <v>45104</v>
      </c>
      <c r="C335" s="1" t="str">
        <f>TEXT(RetailStore[[#This Row],[Date]],"mmm")</f>
        <v>Jun</v>
      </c>
      <c r="D335">
        <v>2023</v>
      </c>
      <c r="E335" t="s">
        <v>348</v>
      </c>
      <c r="F335" t="s">
        <v>11</v>
      </c>
      <c r="G335">
        <v>53</v>
      </c>
      <c r="H335" t="s">
        <v>12</v>
      </c>
      <c r="I335">
        <v>3</v>
      </c>
      <c r="J335">
        <v>481</v>
      </c>
      <c r="K335">
        <v>1443</v>
      </c>
      <c r="L3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36" spans="1:12" x14ac:dyDescent="0.3">
      <c r="A336">
        <v>335</v>
      </c>
      <c r="B336" s="1">
        <v>45080</v>
      </c>
      <c r="C336" s="1" t="str">
        <f>TEXT(RetailStore[[#This Row],[Date]],"mmm")</f>
        <v>Jun</v>
      </c>
      <c r="D336">
        <v>2023</v>
      </c>
      <c r="E336" t="s">
        <v>349</v>
      </c>
      <c r="F336" t="s">
        <v>11</v>
      </c>
      <c r="G336">
        <v>63</v>
      </c>
      <c r="H336" t="s">
        <v>12</v>
      </c>
      <c r="I336">
        <v>2</v>
      </c>
      <c r="J336">
        <v>431</v>
      </c>
      <c r="K336">
        <v>862</v>
      </c>
      <c r="L3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37" spans="1:12" x14ac:dyDescent="0.3">
      <c r="A337">
        <v>336</v>
      </c>
      <c r="B337" s="1">
        <v>45112</v>
      </c>
      <c r="C337" s="1" t="str">
        <f>TEXT(RetailStore[[#This Row],[Date]],"mmm")</f>
        <v>Jul</v>
      </c>
      <c r="D337">
        <v>2023</v>
      </c>
      <c r="E337" t="s">
        <v>350</v>
      </c>
      <c r="F337" t="s">
        <v>11</v>
      </c>
      <c r="G337">
        <v>25</v>
      </c>
      <c r="H337" t="s">
        <v>15</v>
      </c>
      <c r="I337">
        <v>2</v>
      </c>
      <c r="J337">
        <v>146</v>
      </c>
      <c r="K337">
        <v>292</v>
      </c>
      <c r="L3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38" spans="1:12" x14ac:dyDescent="0.3">
      <c r="A338">
        <v>337</v>
      </c>
      <c r="B338" s="1">
        <v>45179</v>
      </c>
      <c r="C338" s="1" t="str">
        <f>TEXT(RetailStore[[#This Row],[Date]],"mmm")</f>
        <v>Sep</v>
      </c>
      <c r="D338">
        <v>2023</v>
      </c>
      <c r="E338" t="s">
        <v>351</v>
      </c>
      <c r="F338" t="s">
        <v>11</v>
      </c>
      <c r="G338">
        <v>41</v>
      </c>
      <c r="H338" t="s">
        <v>12</v>
      </c>
      <c r="I338">
        <v>3</v>
      </c>
      <c r="J338">
        <v>264</v>
      </c>
      <c r="K338">
        <v>792</v>
      </c>
      <c r="L3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39" spans="1:12" x14ac:dyDescent="0.3">
      <c r="A339">
        <v>338</v>
      </c>
      <c r="B339" s="1">
        <v>45209</v>
      </c>
      <c r="C339" s="1" t="str">
        <f>TEXT(RetailStore[[#This Row],[Date]],"mmm")</f>
        <v>Oct</v>
      </c>
      <c r="D339">
        <v>2023</v>
      </c>
      <c r="E339" t="s">
        <v>352</v>
      </c>
      <c r="F339" t="s">
        <v>11</v>
      </c>
      <c r="G339">
        <v>57</v>
      </c>
      <c r="H339" t="s">
        <v>15</v>
      </c>
      <c r="I339">
        <v>1</v>
      </c>
      <c r="J339">
        <v>183</v>
      </c>
      <c r="K339">
        <v>183</v>
      </c>
      <c r="L3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0" spans="1:12" x14ac:dyDescent="0.3">
      <c r="A340">
        <v>339</v>
      </c>
      <c r="B340" s="1">
        <v>45130</v>
      </c>
      <c r="C340" s="1" t="str">
        <f>TEXT(RetailStore[[#This Row],[Date]],"mmm")</f>
        <v>Jul</v>
      </c>
      <c r="D340">
        <v>2023</v>
      </c>
      <c r="E340" t="s">
        <v>353</v>
      </c>
      <c r="F340" t="s">
        <v>18</v>
      </c>
      <c r="G340">
        <v>51</v>
      </c>
      <c r="H340" t="s">
        <v>20</v>
      </c>
      <c r="I340">
        <v>4</v>
      </c>
      <c r="J340">
        <v>446</v>
      </c>
      <c r="K340">
        <v>1784</v>
      </c>
      <c r="L3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1" spans="1:12" x14ac:dyDescent="0.3">
      <c r="A341">
        <v>340</v>
      </c>
      <c r="B341" s="1">
        <v>45221</v>
      </c>
      <c r="C341" s="1" t="str">
        <f>TEXT(RetailStore[[#This Row],[Date]],"mmm")</f>
        <v>Oct</v>
      </c>
      <c r="D341">
        <v>2023</v>
      </c>
      <c r="E341" t="s">
        <v>354</v>
      </c>
      <c r="F341" t="s">
        <v>11</v>
      </c>
      <c r="G341">
        <v>26</v>
      </c>
      <c r="H341" t="s">
        <v>20</v>
      </c>
      <c r="I341">
        <v>1</v>
      </c>
      <c r="J341">
        <v>255</v>
      </c>
      <c r="K341">
        <v>255</v>
      </c>
      <c r="L3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2" spans="1:12" x14ac:dyDescent="0.3">
      <c r="A342">
        <v>341</v>
      </c>
      <c r="B342" s="1">
        <v>45165</v>
      </c>
      <c r="C342" s="1" t="str">
        <f>TEXT(RetailStore[[#This Row],[Date]],"mmm")</f>
        <v>Aug</v>
      </c>
      <c r="D342">
        <v>2023</v>
      </c>
      <c r="E342" t="s">
        <v>355</v>
      </c>
      <c r="F342" t="s">
        <v>18</v>
      </c>
      <c r="G342">
        <v>26</v>
      </c>
      <c r="H342" t="s">
        <v>12</v>
      </c>
      <c r="I342">
        <v>2</v>
      </c>
      <c r="J342">
        <v>418</v>
      </c>
      <c r="K342">
        <v>836</v>
      </c>
      <c r="L3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3" spans="1:12" x14ac:dyDescent="0.3">
      <c r="A343">
        <v>342</v>
      </c>
      <c r="B343" s="1">
        <v>44993</v>
      </c>
      <c r="C343" s="1" t="str">
        <f>TEXT(RetailStore[[#This Row],[Date]],"mmm")</f>
        <v>Mar</v>
      </c>
      <c r="D343">
        <v>2023</v>
      </c>
      <c r="E343" t="s">
        <v>356</v>
      </c>
      <c r="F343" t="s">
        <v>18</v>
      </c>
      <c r="G343">
        <v>50</v>
      </c>
      <c r="H343" t="s">
        <v>15</v>
      </c>
      <c r="I343">
        <v>1</v>
      </c>
      <c r="J343">
        <v>290</v>
      </c>
      <c r="K343">
        <v>290</v>
      </c>
      <c r="L3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44" spans="1:12" x14ac:dyDescent="0.3">
      <c r="A344">
        <v>343</v>
      </c>
      <c r="B344" s="1">
        <v>45005</v>
      </c>
      <c r="C344" s="1" t="str">
        <f>TEXT(RetailStore[[#This Row],[Date]],"mmm")</f>
        <v>Mar</v>
      </c>
      <c r="D344">
        <v>2023</v>
      </c>
      <c r="E344" t="s">
        <v>357</v>
      </c>
      <c r="F344" t="s">
        <v>18</v>
      </c>
      <c r="G344">
        <v>28</v>
      </c>
      <c r="H344" t="s">
        <v>15</v>
      </c>
      <c r="I344">
        <v>3</v>
      </c>
      <c r="J344">
        <v>388</v>
      </c>
      <c r="K344">
        <v>1164</v>
      </c>
      <c r="L3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45" spans="1:12" x14ac:dyDescent="0.3">
      <c r="A345">
        <v>344</v>
      </c>
      <c r="B345" s="1">
        <v>45042</v>
      </c>
      <c r="C345" s="1" t="str">
        <f>TEXT(RetailStore[[#This Row],[Date]],"mmm")</f>
        <v>Apr</v>
      </c>
      <c r="D345">
        <v>2023</v>
      </c>
      <c r="E345" t="s">
        <v>358</v>
      </c>
      <c r="F345" t="s">
        <v>18</v>
      </c>
      <c r="G345">
        <v>51</v>
      </c>
      <c r="H345" t="s">
        <v>20</v>
      </c>
      <c r="I345">
        <v>1</v>
      </c>
      <c r="J345">
        <v>153</v>
      </c>
      <c r="K345">
        <v>153</v>
      </c>
      <c r="L3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46" spans="1:12" x14ac:dyDescent="0.3">
      <c r="A346">
        <v>345</v>
      </c>
      <c r="B346" s="1">
        <v>45027</v>
      </c>
      <c r="C346" s="1" t="str">
        <f>TEXT(RetailStore[[#This Row],[Date]],"mmm")</f>
        <v>Apr</v>
      </c>
      <c r="D346">
        <v>2023</v>
      </c>
      <c r="E346" t="s">
        <v>359</v>
      </c>
      <c r="F346" t="s">
        <v>18</v>
      </c>
      <c r="G346">
        <v>26</v>
      </c>
      <c r="H346" t="s">
        <v>12</v>
      </c>
      <c r="I346">
        <v>3</v>
      </c>
      <c r="J346">
        <v>339</v>
      </c>
      <c r="K346">
        <v>1017</v>
      </c>
      <c r="L3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47" spans="1:12" x14ac:dyDescent="0.3">
      <c r="A347">
        <v>346</v>
      </c>
      <c r="B347" s="1">
        <v>45200</v>
      </c>
      <c r="C347" s="1" t="str">
        <f>TEXT(RetailStore[[#This Row],[Date]],"mmm")</f>
        <v>Oct</v>
      </c>
      <c r="D347">
        <v>2023</v>
      </c>
      <c r="E347" t="s">
        <v>360</v>
      </c>
      <c r="F347" t="s">
        <v>11</v>
      </c>
      <c r="G347">
        <v>50</v>
      </c>
      <c r="H347" t="s">
        <v>12</v>
      </c>
      <c r="I347">
        <v>2</v>
      </c>
      <c r="J347">
        <v>328</v>
      </c>
      <c r="K347">
        <v>656</v>
      </c>
      <c r="L3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8" spans="1:12" x14ac:dyDescent="0.3">
      <c r="A348">
        <v>347</v>
      </c>
      <c r="B348" s="1">
        <v>45224</v>
      </c>
      <c r="C348" s="1" t="str">
        <f>TEXT(RetailStore[[#This Row],[Date]],"mmm")</f>
        <v>Oct</v>
      </c>
      <c r="D348">
        <v>2023</v>
      </c>
      <c r="E348" t="s">
        <v>361</v>
      </c>
      <c r="F348" t="s">
        <v>11</v>
      </c>
      <c r="G348">
        <v>28</v>
      </c>
      <c r="H348" t="s">
        <v>12</v>
      </c>
      <c r="I348">
        <v>3</v>
      </c>
      <c r="J348">
        <v>456</v>
      </c>
      <c r="K348">
        <v>1368</v>
      </c>
      <c r="L3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49" spans="1:12" x14ac:dyDescent="0.3">
      <c r="A349">
        <v>348</v>
      </c>
      <c r="B349" s="1">
        <v>45215</v>
      </c>
      <c r="C349" s="1" t="str">
        <f>TEXT(RetailStore[[#This Row],[Date]],"mmm")</f>
        <v>Oct</v>
      </c>
      <c r="D349">
        <v>2023</v>
      </c>
      <c r="E349" t="s">
        <v>362</v>
      </c>
      <c r="F349" t="s">
        <v>11</v>
      </c>
      <c r="G349">
        <v>19</v>
      </c>
      <c r="H349" t="s">
        <v>15</v>
      </c>
      <c r="I349">
        <v>1</v>
      </c>
      <c r="J349">
        <v>353</v>
      </c>
      <c r="K349">
        <v>353</v>
      </c>
      <c r="L3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50" spans="1:12" x14ac:dyDescent="0.3">
      <c r="A350">
        <v>349</v>
      </c>
      <c r="B350" s="1">
        <v>45222</v>
      </c>
      <c r="C350" s="1" t="str">
        <f>TEXT(RetailStore[[#This Row],[Date]],"mmm")</f>
        <v>Oct</v>
      </c>
      <c r="D350">
        <v>2023</v>
      </c>
      <c r="E350" t="s">
        <v>363</v>
      </c>
      <c r="F350" t="s">
        <v>18</v>
      </c>
      <c r="G350">
        <v>59</v>
      </c>
      <c r="H350" t="s">
        <v>15</v>
      </c>
      <c r="I350">
        <v>4</v>
      </c>
      <c r="J350">
        <v>341</v>
      </c>
      <c r="K350">
        <v>1364</v>
      </c>
      <c r="L3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51" spans="1:12" x14ac:dyDescent="0.3">
      <c r="A351">
        <v>350</v>
      </c>
      <c r="B351" s="1">
        <v>45254</v>
      </c>
      <c r="C351" s="1" t="str">
        <f>TEXT(RetailStore[[#This Row],[Date]],"mmm")</f>
        <v>Nov</v>
      </c>
      <c r="D351">
        <v>2023</v>
      </c>
      <c r="E351" t="s">
        <v>364</v>
      </c>
      <c r="F351" t="s">
        <v>11</v>
      </c>
      <c r="G351">
        <v>49</v>
      </c>
      <c r="H351" t="s">
        <v>12</v>
      </c>
      <c r="I351">
        <v>3</v>
      </c>
      <c r="J351">
        <v>353</v>
      </c>
      <c r="K351">
        <v>1059</v>
      </c>
      <c r="L3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52" spans="1:12" x14ac:dyDescent="0.3">
      <c r="A352">
        <v>351</v>
      </c>
      <c r="B352" s="1">
        <v>45081</v>
      </c>
      <c r="C352" s="1" t="str">
        <f>TEXT(RetailStore[[#This Row],[Date]],"mmm")</f>
        <v>Jun</v>
      </c>
      <c r="D352">
        <v>2023</v>
      </c>
      <c r="E352" t="s">
        <v>365</v>
      </c>
      <c r="F352" t="s">
        <v>18</v>
      </c>
      <c r="G352">
        <v>33</v>
      </c>
      <c r="H352" t="s">
        <v>12</v>
      </c>
      <c r="I352">
        <v>4</v>
      </c>
      <c r="J352">
        <v>177</v>
      </c>
      <c r="K352">
        <v>708</v>
      </c>
      <c r="L3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53" spans="1:12" x14ac:dyDescent="0.3">
      <c r="A353">
        <v>352</v>
      </c>
      <c r="B353" s="1">
        <v>45159</v>
      </c>
      <c r="C353" s="1" t="str">
        <f>TEXT(RetailStore[[#This Row],[Date]],"mmm")</f>
        <v>Aug</v>
      </c>
      <c r="D353">
        <v>2023</v>
      </c>
      <c r="E353" t="s">
        <v>366</v>
      </c>
      <c r="F353" t="s">
        <v>11</v>
      </c>
      <c r="G353">
        <v>62</v>
      </c>
      <c r="H353" t="s">
        <v>15</v>
      </c>
      <c r="I353">
        <v>2</v>
      </c>
      <c r="J353">
        <v>250</v>
      </c>
      <c r="K353">
        <v>500</v>
      </c>
      <c r="L3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54" spans="1:12" x14ac:dyDescent="0.3">
      <c r="A354">
        <v>353</v>
      </c>
      <c r="B354" s="1">
        <v>45139</v>
      </c>
      <c r="C354" s="1" t="str">
        <f>TEXT(RetailStore[[#This Row],[Date]],"mmm")</f>
        <v>Aug</v>
      </c>
      <c r="D354">
        <v>2023</v>
      </c>
      <c r="E354" t="s">
        <v>367</v>
      </c>
      <c r="F354" t="s">
        <v>18</v>
      </c>
      <c r="G354">
        <v>47</v>
      </c>
      <c r="H354" t="s">
        <v>15</v>
      </c>
      <c r="I354">
        <v>3</v>
      </c>
      <c r="J354">
        <v>335</v>
      </c>
      <c r="K354">
        <v>1005</v>
      </c>
      <c r="L3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55" spans="1:12" x14ac:dyDescent="0.3">
      <c r="A355">
        <v>354</v>
      </c>
      <c r="B355" s="1">
        <v>45000</v>
      </c>
      <c r="C355" s="1" t="str">
        <f>TEXT(RetailStore[[#This Row],[Date]],"mmm")</f>
        <v>Mar</v>
      </c>
      <c r="D355">
        <v>2023</v>
      </c>
      <c r="E355" t="s">
        <v>368</v>
      </c>
      <c r="F355" t="s">
        <v>18</v>
      </c>
      <c r="G355">
        <v>63</v>
      </c>
      <c r="H355" t="s">
        <v>20</v>
      </c>
      <c r="I355">
        <v>3</v>
      </c>
      <c r="J355">
        <v>229</v>
      </c>
      <c r="K355">
        <v>687</v>
      </c>
      <c r="L3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56" spans="1:12" x14ac:dyDescent="0.3">
      <c r="A356">
        <v>355</v>
      </c>
      <c r="B356" s="1">
        <v>44993</v>
      </c>
      <c r="C356" s="1" t="str">
        <f>TEXT(RetailStore[[#This Row],[Date]],"mmm")</f>
        <v>Mar</v>
      </c>
      <c r="D356">
        <v>2023</v>
      </c>
      <c r="E356" t="s">
        <v>369</v>
      </c>
      <c r="F356" t="s">
        <v>18</v>
      </c>
      <c r="G356">
        <v>50</v>
      </c>
      <c r="H356" t="s">
        <v>12</v>
      </c>
      <c r="I356">
        <v>1</v>
      </c>
      <c r="J356">
        <v>188</v>
      </c>
      <c r="K356">
        <v>188</v>
      </c>
      <c r="L3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57" spans="1:12" x14ac:dyDescent="0.3">
      <c r="A357">
        <v>356</v>
      </c>
      <c r="B357" s="1">
        <v>45050</v>
      </c>
      <c r="C357" s="1" t="str">
        <f>TEXT(RetailStore[[#This Row],[Date]],"mmm")</f>
        <v>May</v>
      </c>
      <c r="D357">
        <v>2023</v>
      </c>
      <c r="E357" t="s">
        <v>370</v>
      </c>
      <c r="F357" t="s">
        <v>18</v>
      </c>
      <c r="G357">
        <v>25</v>
      </c>
      <c r="H357" t="s">
        <v>20</v>
      </c>
      <c r="I357">
        <v>4</v>
      </c>
      <c r="J357">
        <v>151</v>
      </c>
      <c r="K357">
        <v>604</v>
      </c>
      <c r="L3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58" spans="1:12" x14ac:dyDescent="0.3">
      <c r="A358">
        <v>357</v>
      </c>
      <c r="B358" s="1">
        <v>44999</v>
      </c>
      <c r="C358" s="1" t="str">
        <f>TEXT(RetailStore[[#This Row],[Date]],"mmm")</f>
        <v>Mar</v>
      </c>
      <c r="D358">
        <v>2023</v>
      </c>
      <c r="E358" t="s">
        <v>371</v>
      </c>
      <c r="F358" t="s">
        <v>11</v>
      </c>
      <c r="G358">
        <v>21</v>
      </c>
      <c r="H358" t="s">
        <v>20</v>
      </c>
      <c r="I358">
        <v>4</v>
      </c>
      <c r="J358">
        <v>467</v>
      </c>
      <c r="K358">
        <v>1868</v>
      </c>
      <c r="L3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59" spans="1:12" x14ac:dyDescent="0.3">
      <c r="A359">
        <v>358</v>
      </c>
      <c r="B359" s="1">
        <v>45242</v>
      </c>
      <c r="C359" s="1" t="str">
        <f>TEXT(RetailStore[[#This Row],[Date]],"mmm")</f>
        <v>Nov</v>
      </c>
      <c r="D359">
        <v>2023</v>
      </c>
      <c r="E359" t="s">
        <v>372</v>
      </c>
      <c r="F359" t="s">
        <v>18</v>
      </c>
      <c r="G359">
        <v>33</v>
      </c>
      <c r="H359" t="s">
        <v>15</v>
      </c>
      <c r="I359">
        <v>3</v>
      </c>
      <c r="J359">
        <v>320</v>
      </c>
      <c r="K359">
        <v>960</v>
      </c>
      <c r="L3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60" spans="1:12" x14ac:dyDescent="0.3">
      <c r="A360">
        <v>359</v>
      </c>
      <c r="B360" s="1">
        <v>45087</v>
      </c>
      <c r="C360" s="1" t="str">
        <f>TEXT(RetailStore[[#This Row],[Date]],"mmm")</f>
        <v>Jun</v>
      </c>
      <c r="D360">
        <v>2023</v>
      </c>
      <c r="E360" t="s">
        <v>373</v>
      </c>
      <c r="F360" t="s">
        <v>11</v>
      </c>
      <c r="G360">
        <v>28</v>
      </c>
      <c r="H360" t="s">
        <v>20</v>
      </c>
      <c r="I360">
        <v>4</v>
      </c>
      <c r="J360">
        <v>280</v>
      </c>
      <c r="K360">
        <v>1120</v>
      </c>
      <c r="L3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61" spans="1:12" x14ac:dyDescent="0.3">
      <c r="A361">
        <v>360</v>
      </c>
      <c r="B361" s="1">
        <v>45084</v>
      </c>
      <c r="C361" s="1" t="str">
        <f>TEXT(RetailStore[[#This Row],[Date]],"mmm")</f>
        <v>Jun</v>
      </c>
      <c r="D361">
        <v>2023</v>
      </c>
      <c r="E361" t="s">
        <v>374</v>
      </c>
      <c r="F361" t="s">
        <v>18</v>
      </c>
      <c r="G361">
        <v>19</v>
      </c>
      <c r="H361" t="s">
        <v>15</v>
      </c>
      <c r="I361">
        <v>4</v>
      </c>
      <c r="J361">
        <v>283</v>
      </c>
      <c r="K361">
        <v>1132</v>
      </c>
      <c r="L3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62" spans="1:12" x14ac:dyDescent="0.3">
      <c r="A362">
        <v>361</v>
      </c>
      <c r="B362" s="1">
        <v>45161</v>
      </c>
      <c r="C362" s="1" t="str">
        <f>TEXT(RetailStore[[#This Row],[Date]],"mmm")</f>
        <v>Aug</v>
      </c>
      <c r="D362">
        <v>2023</v>
      </c>
      <c r="E362" t="s">
        <v>375</v>
      </c>
      <c r="F362" t="s">
        <v>11</v>
      </c>
      <c r="G362">
        <v>31</v>
      </c>
      <c r="H362" t="s">
        <v>12</v>
      </c>
      <c r="I362">
        <v>3</v>
      </c>
      <c r="J362">
        <v>49</v>
      </c>
      <c r="K362">
        <v>147</v>
      </c>
      <c r="L3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63" spans="1:12" x14ac:dyDescent="0.3">
      <c r="A363">
        <v>362</v>
      </c>
      <c r="B363" s="1">
        <v>44952</v>
      </c>
      <c r="C363" s="1" t="str">
        <f>TEXT(RetailStore[[#This Row],[Date]],"mmm")</f>
        <v>Jan</v>
      </c>
      <c r="D363">
        <v>2023</v>
      </c>
      <c r="E363" t="s">
        <v>376</v>
      </c>
      <c r="F363" t="s">
        <v>18</v>
      </c>
      <c r="G363">
        <v>49</v>
      </c>
      <c r="H363" t="s">
        <v>12</v>
      </c>
      <c r="I363">
        <v>4</v>
      </c>
      <c r="J363">
        <v>171</v>
      </c>
      <c r="K363">
        <v>684</v>
      </c>
      <c r="L3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64" spans="1:12" x14ac:dyDescent="0.3">
      <c r="A364">
        <v>363</v>
      </c>
      <c r="B364" s="1">
        <v>45201</v>
      </c>
      <c r="C364" s="1" t="str">
        <f>TEXT(RetailStore[[#This Row],[Date]],"mmm")</f>
        <v>Oct</v>
      </c>
      <c r="D364">
        <v>2023</v>
      </c>
      <c r="E364" t="s">
        <v>377</v>
      </c>
      <c r="F364" t="s">
        <v>11</v>
      </c>
      <c r="G364">
        <v>24</v>
      </c>
      <c r="H364" t="s">
        <v>20</v>
      </c>
      <c r="I364">
        <v>2</v>
      </c>
      <c r="J364">
        <v>476</v>
      </c>
      <c r="K364">
        <v>952</v>
      </c>
      <c r="L3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65" spans="1:12" x14ac:dyDescent="0.3">
      <c r="A365">
        <v>364</v>
      </c>
      <c r="B365" s="1">
        <v>45062</v>
      </c>
      <c r="C365" s="1" t="str">
        <f>TEXT(RetailStore[[#This Row],[Date]],"mmm")</f>
        <v>May</v>
      </c>
      <c r="D365">
        <v>2023</v>
      </c>
      <c r="E365" t="s">
        <v>378</v>
      </c>
      <c r="F365" t="s">
        <v>18</v>
      </c>
      <c r="G365">
        <v>43</v>
      </c>
      <c r="H365" t="s">
        <v>20</v>
      </c>
      <c r="I365">
        <v>1</v>
      </c>
      <c r="J365">
        <v>230</v>
      </c>
      <c r="K365">
        <v>230</v>
      </c>
      <c r="L3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66" spans="1:12" x14ac:dyDescent="0.3">
      <c r="A366">
        <v>365</v>
      </c>
      <c r="B366" s="1">
        <v>44953</v>
      </c>
      <c r="C366" s="1" t="str">
        <f>TEXT(RetailStore[[#This Row],[Date]],"mmm")</f>
        <v>Jan</v>
      </c>
      <c r="D366">
        <v>2023</v>
      </c>
      <c r="E366" t="s">
        <v>379</v>
      </c>
      <c r="F366" t="s">
        <v>11</v>
      </c>
      <c r="G366">
        <v>41</v>
      </c>
      <c r="H366" t="s">
        <v>12</v>
      </c>
      <c r="I366">
        <v>3</v>
      </c>
      <c r="J366">
        <v>62</v>
      </c>
      <c r="K366">
        <v>186</v>
      </c>
      <c r="L3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67" spans="1:12" x14ac:dyDescent="0.3">
      <c r="A367">
        <v>366</v>
      </c>
      <c r="B367" s="1">
        <v>45124</v>
      </c>
      <c r="C367" s="1" t="str">
        <f>TEXT(RetailStore[[#This Row],[Date]],"mmm")</f>
        <v>Jul</v>
      </c>
      <c r="D367">
        <v>2023</v>
      </c>
      <c r="E367" t="s">
        <v>380</v>
      </c>
      <c r="F367" t="s">
        <v>18</v>
      </c>
      <c r="G367">
        <v>53</v>
      </c>
      <c r="H367" t="s">
        <v>20</v>
      </c>
      <c r="I367">
        <v>1</v>
      </c>
      <c r="J367">
        <v>90</v>
      </c>
      <c r="K367">
        <v>90</v>
      </c>
      <c r="L3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68" spans="1:12" x14ac:dyDescent="0.3">
      <c r="A368">
        <v>367</v>
      </c>
      <c r="B368" s="1">
        <v>44976</v>
      </c>
      <c r="C368" s="1" t="str">
        <f>TEXT(RetailStore[[#This Row],[Date]],"mmm")</f>
        <v>Feb</v>
      </c>
      <c r="D368">
        <v>2023</v>
      </c>
      <c r="E368" t="s">
        <v>381</v>
      </c>
      <c r="F368" t="s">
        <v>18</v>
      </c>
      <c r="G368">
        <v>41</v>
      </c>
      <c r="H368" t="s">
        <v>20</v>
      </c>
      <c r="I368">
        <v>3</v>
      </c>
      <c r="J368">
        <v>411</v>
      </c>
      <c r="K368">
        <v>1233</v>
      </c>
      <c r="L3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69" spans="1:12" x14ac:dyDescent="0.3">
      <c r="A369">
        <v>368</v>
      </c>
      <c r="B369" s="1">
        <v>45000</v>
      </c>
      <c r="C369" s="1" t="str">
        <f>TEXT(RetailStore[[#This Row],[Date]],"mmm")</f>
        <v>Mar</v>
      </c>
      <c r="D369">
        <v>2023</v>
      </c>
      <c r="E369" t="s">
        <v>382</v>
      </c>
      <c r="F369" t="s">
        <v>11</v>
      </c>
      <c r="G369">
        <v>56</v>
      </c>
      <c r="H369" t="s">
        <v>12</v>
      </c>
      <c r="I369">
        <v>4</v>
      </c>
      <c r="J369">
        <v>281</v>
      </c>
      <c r="K369">
        <v>1124</v>
      </c>
      <c r="L3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70" spans="1:12" x14ac:dyDescent="0.3">
      <c r="A370">
        <v>369</v>
      </c>
      <c r="B370" s="1">
        <v>44947</v>
      </c>
      <c r="C370" s="1" t="str">
        <f>TEXT(RetailStore[[#This Row],[Date]],"mmm")</f>
        <v>Jan</v>
      </c>
      <c r="D370">
        <v>2023</v>
      </c>
      <c r="E370" t="s">
        <v>383</v>
      </c>
      <c r="F370" t="s">
        <v>11</v>
      </c>
      <c r="G370">
        <v>20</v>
      </c>
      <c r="H370" t="s">
        <v>15</v>
      </c>
      <c r="I370">
        <v>3</v>
      </c>
      <c r="J370">
        <v>436</v>
      </c>
      <c r="K370">
        <v>1308</v>
      </c>
      <c r="L3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71" spans="1:12" x14ac:dyDescent="0.3">
      <c r="A371">
        <v>370</v>
      </c>
      <c r="B371" s="1">
        <v>45169</v>
      </c>
      <c r="C371" s="1" t="str">
        <f>TEXT(RetailStore[[#This Row],[Date]],"mmm")</f>
        <v>Aug</v>
      </c>
      <c r="D371">
        <v>2023</v>
      </c>
      <c r="E371" t="s">
        <v>384</v>
      </c>
      <c r="F371" t="s">
        <v>18</v>
      </c>
      <c r="G371">
        <v>27</v>
      </c>
      <c r="H371" t="s">
        <v>12</v>
      </c>
      <c r="I371">
        <v>2</v>
      </c>
      <c r="J371">
        <v>192</v>
      </c>
      <c r="K371">
        <v>384</v>
      </c>
      <c r="L3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72" spans="1:12" x14ac:dyDescent="0.3">
      <c r="A372">
        <v>371</v>
      </c>
      <c r="B372" s="1">
        <v>45240</v>
      </c>
      <c r="C372" s="1" t="str">
        <f>TEXT(RetailStore[[#This Row],[Date]],"mmm")</f>
        <v>Nov</v>
      </c>
      <c r="D372">
        <v>2023</v>
      </c>
      <c r="E372" t="s">
        <v>385</v>
      </c>
      <c r="F372" t="s">
        <v>18</v>
      </c>
      <c r="G372">
        <v>28</v>
      </c>
      <c r="H372" t="s">
        <v>20</v>
      </c>
      <c r="I372">
        <v>3</v>
      </c>
      <c r="J372">
        <v>328</v>
      </c>
      <c r="K372">
        <v>984</v>
      </c>
      <c r="L3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73" spans="1:12" x14ac:dyDescent="0.3">
      <c r="A373">
        <v>372</v>
      </c>
      <c r="B373" s="1">
        <v>45099</v>
      </c>
      <c r="C373" s="1" t="str">
        <f>TEXT(RetailStore[[#This Row],[Date]],"mmm")</f>
        <v>Jun</v>
      </c>
      <c r="D373">
        <v>2023</v>
      </c>
      <c r="E373" t="s">
        <v>386</v>
      </c>
      <c r="F373" t="s">
        <v>18</v>
      </c>
      <c r="G373">
        <v>63</v>
      </c>
      <c r="H373" t="s">
        <v>12</v>
      </c>
      <c r="I373">
        <v>3</v>
      </c>
      <c r="J373">
        <v>268</v>
      </c>
      <c r="K373">
        <v>804</v>
      </c>
      <c r="L3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74" spans="1:12" x14ac:dyDescent="0.3">
      <c r="A374">
        <v>373</v>
      </c>
      <c r="B374" s="1">
        <v>44935</v>
      </c>
      <c r="C374" s="1" t="str">
        <f>TEXT(RetailStore[[#This Row],[Date]],"mmm")</f>
        <v>Jan</v>
      </c>
      <c r="D374">
        <v>2023</v>
      </c>
      <c r="E374" t="s">
        <v>387</v>
      </c>
      <c r="F374" t="s">
        <v>18</v>
      </c>
      <c r="G374">
        <v>39</v>
      </c>
      <c r="H374" t="s">
        <v>12</v>
      </c>
      <c r="I374">
        <v>1</v>
      </c>
      <c r="J374">
        <v>238</v>
      </c>
      <c r="K374">
        <v>238</v>
      </c>
      <c r="L3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75" spans="1:12" x14ac:dyDescent="0.3">
      <c r="A375">
        <v>374</v>
      </c>
      <c r="B375" s="1">
        <v>45225</v>
      </c>
      <c r="C375" s="1" t="str">
        <f>TEXT(RetailStore[[#This Row],[Date]],"mmm")</f>
        <v>Oct</v>
      </c>
      <c r="D375">
        <v>2023</v>
      </c>
      <c r="E375" t="s">
        <v>388</v>
      </c>
      <c r="F375" t="s">
        <v>18</v>
      </c>
      <c r="G375">
        <v>64</v>
      </c>
      <c r="H375" t="s">
        <v>12</v>
      </c>
      <c r="I375">
        <v>1</v>
      </c>
      <c r="J375">
        <v>330</v>
      </c>
      <c r="K375">
        <v>330</v>
      </c>
      <c r="L3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76" spans="1:12" x14ac:dyDescent="0.3">
      <c r="A376">
        <v>375</v>
      </c>
      <c r="B376" s="1">
        <v>45169</v>
      </c>
      <c r="C376" s="1" t="str">
        <f>TEXT(RetailStore[[#This Row],[Date]],"mmm")</f>
        <v>Aug</v>
      </c>
      <c r="D376">
        <v>2023</v>
      </c>
      <c r="E376" t="s">
        <v>389</v>
      </c>
      <c r="F376" t="s">
        <v>18</v>
      </c>
      <c r="G376">
        <v>59</v>
      </c>
      <c r="H376" t="s">
        <v>12</v>
      </c>
      <c r="I376">
        <v>2</v>
      </c>
      <c r="J376">
        <v>394</v>
      </c>
      <c r="K376">
        <v>788</v>
      </c>
      <c r="L3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77" spans="1:12" x14ac:dyDescent="0.3">
      <c r="A377">
        <v>376</v>
      </c>
      <c r="B377" s="1">
        <v>44953</v>
      </c>
      <c r="C377" s="1" t="str">
        <f>TEXT(RetailStore[[#This Row],[Date]],"mmm")</f>
        <v>Jan</v>
      </c>
      <c r="D377">
        <v>2023</v>
      </c>
      <c r="E377" t="s">
        <v>390</v>
      </c>
      <c r="F377" t="s">
        <v>18</v>
      </c>
      <c r="G377">
        <v>28</v>
      </c>
      <c r="H377" t="s">
        <v>12</v>
      </c>
      <c r="I377">
        <v>4</v>
      </c>
      <c r="J377">
        <v>100</v>
      </c>
      <c r="K377">
        <v>400</v>
      </c>
      <c r="L3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78" spans="1:12" x14ac:dyDescent="0.3">
      <c r="A378">
        <v>377</v>
      </c>
      <c r="B378" s="1">
        <v>45275</v>
      </c>
      <c r="C378" s="1" t="str">
        <f>TEXT(RetailStore[[#This Row],[Date]],"mmm")</f>
        <v>Dec</v>
      </c>
      <c r="D378">
        <v>2023</v>
      </c>
      <c r="E378" t="s">
        <v>391</v>
      </c>
      <c r="F378" t="s">
        <v>11</v>
      </c>
      <c r="G378">
        <v>20</v>
      </c>
      <c r="H378" t="s">
        <v>12</v>
      </c>
      <c r="I378">
        <v>1</v>
      </c>
      <c r="J378">
        <v>122</v>
      </c>
      <c r="K378">
        <v>122</v>
      </c>
      <c r="L3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79" spans="1:12" x14ac:dyDescent="0.3">
      <c r="A379">
        <v>378</v>
      </c>
      <c r="B379" s="1">
        <v>44936</v>
      </c>
      <c r="C379" s="1" t="str">
        <f>TEXT(RetailStore[[#This Row],[Date]],"mmm")</f>
        <v>Jan</v>
      </c>
      <c r="D379">
        <v>2023</v>
      </c>
      <c r="E379" t="s">
        <v>392</v>
      </c>
      <c r="F379" t="s">
        <v>18</v>
      </c>
      <c r="G379">
        <v>38</v>
      </c>
      <c r="H379" t="s">
        <v>20</v>
      </c>
      <c r="I379">
        <v>2</v>
      </c>
      <c r="J379">
        <v>236</v>
      </c>
      <c r="K379">
        <v>472</v>
      </c>
      <c r="L3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80" spans="1:12" x14ac:dyDescent="0.3">
      <c r="A380">
        <v>379</v>
      </c>
      <c r="B380" s="1">
        <v>45280</v>
      </c>
      <c r="C380" s="1" t="str">
        <f>TEXT(RetailStore[[#This Row],[Date]],"mmm")</f>
        <v>Dec</v>
      </c>
      <c r="D380">
        <v>2023</v>
      </c>
      <c r="E380" t="s">
        <v>393</v>
      </c>
      <c r="F380" t="s">
        <v>11</v>
      </c>
      <c r="G380">
        <v>44</v>
      </c>
      <c r="H380" t="s">
        <v>12</v>
      </c>
      <c r="I380">
        <v>4</v>
      </c>
      <c r="J380">
        <v>471</v>
      </c>
      <c r="K380">
        <v>1884</v>
      </c>
      <c r="L3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81" spans="1:12" x14ac:dyDescent="0.3">
      <c r="A381">
        <v>380</v>
      </c>
      <c r="B381" s="1">
        <v>44958</v>
      </c>
      <c r="C381" s="1" t="str">
        <f>TEXT(RetailStore[[#This Row],[Date]],"mmm")</f>
        <v>Feb</v>
      </c>
      <c r="D381">
        <v>2023</v>
      </c>
      <c r="E381" t="s">
        <v>394</v>
      </c>
      <c r="F381" t="s">
        <v>11</v>
      </c>
      <c r="G381">
        <v>51</v>
      </c>
      <c r="H381" t="s">
        <v>15</v>
      </c>
      <c r="I381">
        <v>3</v>
      </c>
      <c r="J381">
        <v>364</v>
      </c>
      <c r="K381">
        <v>1092</v>
      </c>
      <c r="L3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82" spans="1:12" x14ac:dyDescent="0.3">
      <c r="A382">
        <v>381</v>
      </c>
      <c r="B382" s="1">
        <v>45171</v>
      </c>
      <c r="C382" s="1" t="str">
        <f>TEXT(RetailStore[[#This Row],[Date]],"mmm")</f>
        <v>Sep</v>
      </c>
      <c r="D382">
        <v>2023</v>
      </c>
      <c r="E382" t="s">
        <v>395</v>
      </c>
      <c r="F382" t="s">
        <v>18</v>
      </c>
      <c r="G382">
        <v>38</v>
      </c>
      <c r="H382" t="s">
        <v>15</v>
      </c>
      <c r="I382">
        <v>4</v>
      </c>
      <c r="J382">
        <v>492</v>
      </c>
      <c r="K382">
        <v>1968</v>
      </c>
      <c r="L3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83" spans="1:12" x14ac:dyDescent="0.3">
      <c r="A383">
        <v>382</v>
      </c>
      <c r="B383" s="1">
        <v>45199</v>
      </c>
      <c r="C383" s="1" t="str">
        <f>TEXT(RetailStore[[#This Row],[Date]],"mmm")</f>
        <v>Sep</v>
      </c>
      <c r="D383">
        <v>2023</v>
      </c>
      <c r="E383" t="s">
        <v>396</v>
      </c>
      <c r="F383" t="s">
        <v>18</v>
      </c>
      <c r="G383">
        <v>52</v>
      </c>
      <c r="H383" t="s">
        <v>20</v>
      </c>
      <c r="I383">
        <v>3</v>
      </c>
      <c r="J383">
        <v>337</v>
      </c>
      <c r="K383">
        <v>1011</v>
      </c>
      <c r="L3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84" spans="1:12" x14ac:dyDescent="0.3">
      <c r="A384">
        <v>383</v>
      </c>
      <c r="B384" s="1">
        <v>45174</v>
      </c>
      <c r="C384" s="1" t="str">
        <f>TEXT(RetailStore[[#This Row],[Date]],"mmm")</f>
        <v>Sep</v>
      </c>
      <c r="D384">
        <v>2023</v>
      </c>
      <c r="E384" t="s">
        <v>397</v>
      </c>
      <c r="F384" t="s">
        <v>11</v>
      </c>
      <c r="G384">
        <v>33</v>
      </c>
      <c r="H384" t="s">
        <v>20</v>
      </c>
      <c r="I384">
        <v>3</v>
      </c>
      <c r="J384">
        <v>140</v>
      </c>
      <c r="K384">
        <v>420</v>
      </c>
      <c r="L3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85" spans="1:12" x14ac:dyDescent="0.3">
      <c r="A385">
        <v>384</v>
      </c>
      <c r="B385" s="1">
        <v>45079</v>
      </c>
      <c r="C385" s="1" t="str">
        <f>TEXT(RetailStore[[#This Row],[Date]],"mmm")</f>
        <v>Jun</v>
      </c>
      <c r="D385">
        <v>2023</v>
      </c>
      <c r="E385" t="s">
        <v>398</v>
      </c>
      <c r="F385" t="s">
        <v>18</v>
      </c>
      <c r="G385">
        <v>63</v>
      </c>
      <c r="H385" t="s">
        <v>15</v>
      </c>
      <c r="I385">
        <v>4</v>
      </c>
      <c r="J385">
        <v>187</v>
      </c>
      <c r="K385">
        <v>748</v>
      </c>
      <c r="L3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86" spans="1:12" x14ac:dyDescent="0.3">
      <c r="A386">
        <v>385</v>
      </c>
      <c r="B386" s="1">
        <v>45172</v>
      </c>
      <c r="C386" s="1" t="str">
        <f>TEXT(RetailStore[[#This Row],[Date]],"mmm")</f>
        <v>Sep</v>
      </c>
      <c r="D386">
        <v>2023</v>
      </c>
      <c r="E386" t="s">
        <v>399</v>
      </c>
      <c r="F386" t="s">
        <v>18</v>
      </c>
      <c r="G386">
        <v>53</v>
      </c>
      <c r="H386" t="s">
        <v>12</v>
      </c>
      <c r="I386">
        <v>3</v>
      </c>
      <c r="J386">
        <v>172</v>
      </c>
      <c r="K386">
        <v>516</v>
      </c>
      <c r="L3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87" spans="1:12" x14ac:dyDescent="0.3">
      <c r="A387">
        <v>386</v>
      </c>
      <c r="B387" s="1">
        <v>44989</v>
      </c>
      <c r="C387" s="1" t="str">
        <f>TEXT(RetailStore[[#This Row],[Date]],"mmm")</f>
        <v>Mar</v>
      </c>
      <c r="D387">
        <v>2023</v>
      </c>
      <c r="E387" t="s">
        <v>400</v>
      </c>
      <c r="F387" t="s">
        <v>18</v>
      </c>
      <c r="G387">
        <v>43</v>
      </c>
      <c r="H387" t="s">
        <v>20</v>
      </c>
      <c r="I387">
        <v>2</v>
      </c>
      <c r="J387">
        <v>173</v>
      </c>
      <c r="K387">
        <v>346</v>
      </c>
      <c r="L3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88" spans="1:12" x14ac:dyDescent="0.3">
      <c r="A388">
        <v>387</v>
      </c>
      <c r="B388" s="1">
        <v>44948</v>
      </c>
      <c r="C388" s="1" t="str">
        <f>TEXT(RetailStore[[#This Row],[Date]],"mmm")</f>
        <v>Jan</v>
      </c>
      <c r="D388">
        <v>2023</v>
      </c>
      <c r="E388" t="s">
        <v>401</v>
      </c>
      <c r="F388" t="s">
        <v>18</v>
      </c>
      <c r="G388">
        <v>63</v>
      </c>
      <c r="H388" t="s">
        <v>15</v>
      </c>
      <c r="I388">
        <v>3</v>
      </c>
      <c r="J388">
        <v>498</v>
      </c>
      <c r="K388">
        <v>1494</v>
      </c>
      <c r="L3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89" spans="1:12" x14ac:dyDescent="0.3">
      <c r="A389">
        <v>388</v>
      </c>
      <c r="B389" s="1">
        <v>45153</v>
      </c>
      <c r="C389" s="1" t="str">
        <f>TEXT(RetailStore[[#This Row],[Date]],"mmm")</f>
        <v>Aug</v>
      </c>
      <c r="D389">
        <v>2023</v>
      </c>
      <c r="E389" t="s">
        <v>402</v>
      </c>
      <c r="F389" t="s">
        <v>18</v>
      </c>
      <c r="G389">
        <v>48</v>
      </c>
      <c r="H389" t="s">
        <v>15</v>
      </c>
      <c r="I389">
        <v>2</v>
      </c>
      <c r="J389">
        <v>448</v>
      </c>
      <c r="K389">
        <v>896</v>
      </c>
      <c r="L3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90" spans="1:12" x14ac:dyDescent="0.3">
      <c r="A390">
        <v>389</v>
      </c>
      <c r="B390" s="1">
        <v>45202</v>
      </c>
      <c r="C390" s="1" t="str">
        <f>TEXT(RetailStore[[#This Row],[Date]],"mmm")</f>
        <v>Oct</v>
      </c>
      <c r="D390">
        <v>2023</v>
      </c>
      <c r="E390" t="s">
        <v>403</v>
      </c>
      <c r="F390" t="s">
        <v>18</v>
      </c>
      <c r="G390">
        <v>53</v>
      </c>
      <c r="H390" t="s">
        <v>12</v>
      </c>
      <c r="I390">
        <v>3</v>
      </c>
      <c r="J390">
        <v>95</v>
      </c>
      <c r="K390">
        <v>285</v>
      </c>
      <c r="L3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91" spans="1:12" x14ac:dyDescent="0.3">
      <c r="A391">
        <v>390</v>
      </c>
      <c r="B391" s="1">
        <v>44982</v>
      </c>
      <c r="C391" s="1" t="str">
        <f>TEXT(RetailStore[[#This Row],[Date]],"mmm")</f>
        <v>Feb</v>
      </c>
      <c r="D391">
        <v>2023</v>
      </c>
      <c r="E391" t="s">
        <v>404</v>
      </c>
      <c r="F391" t="s">
        <v>11</v>
      </c>
      <c r="G391">
        <v>33</v>
      </c>
      <c r="H391" t="s">
        <v>15</v>
      </c>
      <c r="I391">
        <v>2</v>
      </c>
      <c r="J391">
        <v>351</v>
      </c>
      <c r="K391">
        <v>702</v>
      </c>
      <c r="L3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92" spans="1:12" x14ac:dyDescent="0.3">
      <c r="A392">
        <v>391</v>
      </c>
      <c r="B392" s="1">
        <v>45046</v>
      </c>
      <c r="C392" s="1" t="str">
        <f>TEXT(RetailStore[[#This Row],[Date]],"mmm")</f>
        <v>Apr</v>
      </c>
      <c r="D392">
        <v>2023</v>
      </c>
      <c r="E392" t="s">
        <v>405</v>
      </c>
      <c r="F392" t="s">
        <v>11</v>
      </c>
      <c r="G392">
        <v>24</v>
      </c>
      <c r="H392" t="s">
        <v>20</v>
      </c>
      <c r="I392">
        <v>3</v>
      </c>
      <c r="J392">
        <v>392</v>
      </c>
      <c r="K392">
        <v>1176</v>
      </c>
      <c r="L3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93" spans="1:12" x14ac:dyDescent="0.3">
      <c r="A393">
        <v>392</v>
      </c>
      <c r="B393" s="1">
        <v>45168</v>
      </c>
      <c r="C393" s="1" t="str">
        <f>TEXT(RetailStore[[#This Row],[Date]],"mmm")</f>
        <v>Aug</v>
      </c>
      <c r="D393">
        <v>2023</v>
      </c>
      <c r="E393" t="s">
        <v>406</v>
      </c>
      <c r="F393" t="s">
        <v>11</v>
      </c>
      <c r="G393">
        <v>61</v>
      </c>
      <c r="H393" t="s">
        <v>15</v>
      </c>
      <c r="I393">
        <v>1</v>
      </c>
      <c r="J393">
        <v>306</v>
      </c>
      <c r="K393">
        <v>306</v>
      </c>
      <c r="L3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94" spans="1:12" x14ac:dyDescent="0.3">
      <c r="A394">
        <v>393</v>
      </c>
      <c r="B394" s="1">
        <v>45007</v>
      </c>
      <c r="C394" s="1" t="str">
        <f>TEXT(RetailStore[[#This Row],[Date]],"mmm")</f>
        <v>Mar</v>
      </c>
      <c r="D394">
        <v>2023</v>
      </c>
      <c r="E394" t="s">
        <v>407</v>
      </c>
      <c r="F394" t="s">
        <v>18</v>
      </c>
      <c r="G394">
        <v>59</v>
      </c>
      <c r="H394" t="s">
        <v>20</v>
      </c>
      <c r="I394">
        <v>4</v>
      </c>
      <c r="J394">
        <v>358</v>
      </c>
      <c r="K394">
        <v>1432</v>
      </c>
      <c r="L3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95" spans="1:12" x14ac:dyDescent="0.3">
      <c r="A395">
        <v>394</v>
      </c>
      <c r="B395" s="1">
        <v>45029</v>
      </c>
      <c r="C395" s="1" t="str">
        <f>TEXT(RetailStore[[#This Row],[Date]],"mmm")</f>
        <v>Apr</v>
      </c>
      <c r="D395">
        <v>2023</v>
      </c>
      <c r="E395" t="s">
        <v>408</v>
      </c>
      <c r="F395" t="s">
        <v>18</v>
      </c>
      <c r="G395">
        <v>38</v>
      </c>
      <c r="H395" t="s">
        <v>20</v>
      </c>
      <c r="I395">
        <v>1</v>
      </c>
      <c r="J395">
        <v>489</v>
      </c>
      <c r="K395">
        <v>489</v>
      </c>
      <c r="L3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96" spans="1:12" x14ac:dyDescent="0.3">
      <c r="A396">
        <v>395</v>
      </c>
      <c r="B396" s="1">
        <v>44972</v>
      </c>
      <c r="C396" s="1" t="str">
        <f>TEXT(RetailStore[[#This Row],[Date]],"mmm")</f>
        <v>Feb</v>
      </c>
      <c r="D396">
        <v>2023</v>
      </c>
      <c r="E396" t="s">
        <v>409</v>
      </c>
      <c r="F396" t="s">
        <v>11</v>
      </c>
      <c r="G396">
        <v>52</v>
      </c>
      <c r="H396" t="s">
        <v>12</v>
      </c>
      <c r="I396">
        <v>1</v>
      </c>
      <c r="J396">
        <v>492</v>
      </c>
      <c r="K396">
        <v>492</v>
      </c>
      <c r="L3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397" spans="1:12" x14ac:dyDescent="0.3">
      <c r="A397">
        <v>396</v>
      </c>
      <c r="B397" s="1">
        <v>45016</v>
      </c>
      <c r="C397" s="1" t="str">
        <f>TEXT(RetailStore[[#This Row],[Date]],"mmm")</f>
        <v>Mar</v>
      </c>
      <c r="D397">
        <v>2023</v>
      </c>
      <c r="E397" t="s">
        <v>410</v>
      </c>
      <c r="F397" t="s">
        <v>18</v>
      </c>
      <c r="G397">
        <v>29</v>
      </c>
      <c r="H397" t="s">
        <v>15</v>
      </c>
      <c r="I397">
        <v>4</v>
      </c>
      <c r="J397">
        <v>428</v>
      </c>
      <c r="K397">
        <v>1712</v>
      </c>
      <c r="L3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398" spans="1:12" x14ac:dyDescent="0.3">
      <c r="A398">
        <v>397</v>
      </c>
      <c r="B398" s="1">
        <v>45180</v>
      </c>
      <c r="C398" s="1" t="str">
        <f>TEXT(RetailStore[[#This Row],[Date]],"mmm")</f>
        <v>Sep</v>
      </c>
      <c r="D398">
        <v>2023</v>
      </c>
      <c r="E398" t="s">
        <v>411</v>
      </c>
      <c r="F398" t="s">
        <v>11</v>
      </c>
      <c r="G398">
        <v>36</v>
      </c>
      <c r="H398" t="s">
        <v>15</v>
      </c>
      <c r="I398">
        <v>1</v>
      </c>
      <c r="J398">
        <v>177</v>
      </c>
      <c r="K398">
        <v>177</v>
      </c>
      <c r="L3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399" spans="1:12" x14ac:dyDescent="0.3">
      <c r="A399">
        <v>398</v>
      </c>
      <c r="B399" s="1">
        <v>45217</v>
      </c>
      <c r="C399" s="1" t="str">
        <f>TEXT(RetailStore[[#This Row],[Date]],"mmm")</f>
        <v>Oct</v>
      </c>
      <c r="D399">
        <v>2023</v>
      </c>
      <c r="E399" t="s">
        <v>412</v>
      </c>
      <c r="F399" t="s">
        <v>11</v>
      </c>
      <c r="G399">
        <v>39</v>
      </c>
      <c r="H399" t="s">
        <v>20</v>
      </c>
      <c r="I399">
        <v>4</v>
      </c>
      <c r="J399">
        <v>353</v>
      </c>
      <c r="K399">
        <v>1412</v>
      </c>
      <c r="L3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00" spans="1:12" x14ac:dyDescent="0.3">
      <c r="A400">
        <v>399</v>
      </c>
      <c r="B400" s="1">
        <v>45205</v>
      </c>
      <c r="C400" s="1" t="str">
        <f>TEXT(RetailStore[[#This Row],[Date]],"mmm")</f>
        <v>Oct</v>
      </c>
      <c r="D400">
        <v>2023</v>
      </c>
      <c r="E400" t="s">
        <v>413</v>
      </c>
      <c r="F400" t="s">
        <v>18</v>
      </c>
      <c r="G400">
        <v>26</v>
      </c>
      <c r="H400" t="s">
        <v>12</v>
      </c>
      <c r="I400">
        <v>4</v>
      </c>
      <c r="J400">
        <v>164</v>
      </c>
      <c r="K400">
        <v>656</v>
      </c>
      <c r="L4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01" spans="1:12" x14ac:dyDescent="0.3">
      <c r="A401">
        <v>400</v>
      </c>
      <c r="B401" s="1">
        <v>45025</v>
      </c>
      <c r="C401" s="1" t="str">
        <f>TEXT(RetailStore[[#This Row],[Date]],"mmm")</f>
        <v>Apr</v>
      </c>
      <c r="D401">
        <v>2023</v>
      </c>
      <c r="E401" t="s">
        <v>414</v>
      </c>
      <c r="F401" t="s">
        <v>11</v>
      </c>
      <c r="G401">
        <v>39</v>
      </c>
      <c r="H401" t="s">
        <v>15</v>
      </c>
      <c r="I401">
        <v>4</v>
      </c>
      <c r="J401">
        <v>356</v>
      </c>
      <c r="K401">
        <v>1424</v>
      </c>
      <c r="L4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02" spans="1:12" x14ac:dyDescent="0.3">
      <c r="A402">
        <v>401</v>
      </c>
      <c r="B402" s="1">
        <v>45058</v>
      </c>
      <c r="C402" s="1" t="str">
        <f>TEXT(RetailStore[[#This Row],[Date]],"mmm")</f>
        <v>May</v>
      </c>
      <c r="D402">
        <v>2023</v>
      </c>
      <c r="E402" t="s">
        <v>415</v>
      </c>
      <c r="F402" t="s">
        <v>11</v>
      </c>
      <c r="G402">
        <v>18</v>
      </c>
      <c r="H402" t="s">
        <v>12</v>
      </c>
      <c r="I402">
        <v>3</v>
      </c>
      <c r="J402">
        <v>429</v>
      </c>
      <c r="K402">
        <v>1287</v>
      </c>
      <c r="L4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03" spans="1:12" x14ac:dyDescent="0.3">
      <c r="A403">
        <v>402</v>
      </c>
      <c r="B403" s="1">
        <v>45078</v>
      </c>
      <c r="C403" s="1" t="str">
        <f>TEXT(RetailStore[[#This Row],[Date]],"mmm")</f>
        <v>Jun</v>
      </c>
      <c r="D403">
        <v>2023</v>
      </c>
      <c r="E403" t="s">
        <v>416</v>
      </c>
      <c r="F403" t="s">
        <v>11</v>
      </c>
      <c r="G403">
        <v>29</v>
      </c>
      <c r="H403" t="s">
        <v>12</v>
      </c>
      <c r="I403">
        <v>4</v>
      </c>
      <c r="J403">
        <v>448</v>
      </c>
      <c r="K403">
        <v>1792</v>
      </c>
      <c r="L4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04" spans="1:12" x14ac:dyDescent="0.3">
      <c r="A404">
        <v>403</v>
      </c>
      <c r="B404" s="1">
        <v>45145</v>
      </c>
      <c r="C404" s="1" t="str">
        <f>TEXT(RetailStore[[#This Row],[Date]],"mmm")</f>
        <v>Aug</v>
      </c>
      <c r="D404">
        <v>2023</v>
      </c>
      <c r="E404" t="s">
        <v>417</v>
      </c>
      <c r="F404" t="s">
        <v>18</v>
      </c>
      <c r="G404">
        <v>23</v>
      </c>
      <c r="H404" t="s">
        <v>20</v>
      </c>
      <c r="I404">
        <v>1</v>
      </c>
      <c r="J404">
        <v>119</v>
      </c>
      <c r="K404">
        <v>119</v>
      </c>
      <c r="L4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05" spans="1:12" x14ac:dyDescent="0.3">
      <c r="A405">
        <v>404</v>
      </c>
      <c r="B405" s="1">
        <v>44998</v>
      </c>
      <c r="C405" s="1" t="str">
        <f>TEXT(RetailStore[[#This Row],[Date]],"mmm")</f>
        <v>Mar</v>
      </c>
      <c r="D405">
        <v>2023</v>
      </c>
      <c r="E405" t="s">
        <v>418</v>
      </c>
      <c r="F405" t="s">
        <v>18</v>
      </c>
      <c r="G405">
        <v>38</v>
      </c>
      <c r="H405" t="s">
        <v>15</v>
      </c>
      <c r="I405">
        <v>1</v>
      </c>
      <c r="J405">
        <v>158</v>
      </c>
      <c r="K405">
        <v>158</v>
      </c>
      <c r="L4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06" spans="1:12" x14ac:dyDescent="0.3">
      <c r="A406">
        <v>405</v>
      </c>
      <c r="B406" s="1">
        <v>45123</v>
      </c>
      <c r="C406" s="1" t="str">
        <f>TEXT(RetailStore[[#This Row],[Date]],"mmm")</f>
        <v>Jul</v>
      </c>
      <c r="D406">
        <v>2023</v>
      </c>
      <c r="E406" t="s">
        <v>419</v>
      </c>
      <c r="F406" t="s">
        <v>11</v>
      </c>
      <c r="G406">
        <v>46</v>
      </c>
      <c r="H406" t="s">
        <v>20</v>
      </c>
      <c r="I406">
        <v>3</v>
      </c>
      <c r="J406">
        <v>179</v>
      </c>
      <c r="K406">
        <v>537</v>
      </c>
      <c r="L4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07" spans="1:12" x14ac:dyDescent="0.3">
      <c r="A407">
        <v>406</v>
      </c>
      <c r="B407" s="1">
        <v>45225</v>
      </c>
      <c r="C407" s="1" t="str">
        <f>TEXT(RetailStore[[#This Row],[Date]],"mmm")</f>
        <v>Oct</v>
      </c>
      <c r="D407">
        <v>2023</v>
      </c>
      <c r="E407" t="s">
        <v>420</v>
      </c>
      <c r="F407" t="s">
        <v>11</v>
      </c>
      <c r="G407">
        <v>34</v>
      </c>
      <c r="H407" t="s">
        <v>12</v>
      </c>
      <c r="I407">
        <v>3</v>
      </c>
      <c r="J407">
        <v>379</v>
      </c>
      <c r="K407">
        <v>1137</v>
      </c>
      <c r="L4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08" spans="1:12" x14ac:dyDescent="0.3">
      <c r="A408">
        <v>407</v>
      </c>
      <c r="B408" s="1">
        <v>45047</v>
      </c>
      <c r="C408" s="1" t="str">
        <f>TEXT(RetailStore[[#This Row],[Date]],"mmm")</f>
        <v>May</v>
      </c>
      <c r="D408">
        <v>2023</v>
      </c>
      <c r="E408" t="s">
        <v>421</v>
      </c>
      <c r="F408" t="s">
        <v>11</v>
      </c>
      <c r="G408">
        <v>60</v>
      </c>
      <c r="H408" t="s">
        <v>15</v>
      </c>
      <c r="I408">
        <v>4</v>
      </c>
      <c r="J408">
        <v>182</v>
      </c>
      <c r="K408">
        <v>728</v>
      </c>
      <c r="L4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09" spans="1:12" x14ac:dyDescent="0.3">
      <c r="A409">
        <v>408</v>
      </c>
      <c r="B409" s="1">
        <v>45008</v>
      </c>
      <c r="C409" s="1" t="str">
        <f>TEXT(RetailStore[[#This Row],[Date]],"mmm")</f>
        <v>Mar</v>
      </c>
      <c r="D409">
        <v>2023</v>
      </c>
      <c r="E409" t="s">
        <v>422</v>
      </c>
      <c r="F409" t="s">
        <v>18</v>
      </c>
      <c r="G409">
        <v>61</v>
      </c>
      <c r="H409" t="s">
        <v>12</v>
      </c>
      <c r="I409">
        <v>3</v>
      </c>
      <c r="J409">
        <v>378</v>
      </c>
      <c r="K409">
        <v>1134</v>
      </c>
      <c r="L4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10" spans="1:12" x14ac:dyDescent="0.3">
      <c r="A410">
        <v>409</v>
      </c>
      <c r="B410" s="1">
        <v>44987</v>
      </c>
      <c r="C410" s="1" t="str">
        <f>TEXT(RetailStore[[#This Row],[Date]],"mmm")</f>
        <v>Mar</v>
      </c>
      <c r="D410">
        <v>2023</v>
      </c>
      <c r="E410" t="s">
        <v>423</v>
      </c>
      <c r="F410" t="s">
        <v>18</v>
      </c>
      <c r="G410">
        <v>41</v>
      </c>
      <c r="H410" t="s">
        <v>12</v>
      </c>
      <c r="I410">
        <v>2</v>
      </c>
      <c r="J410">
        <v>137</v>
      </c>
      <c r="K410">
        <v>274</v>
      </c>
      <c r="L4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11" spans="1:12" x14ac:dyDescent="0.3">
      <c r="A411">
        <v>410</v>
      </c>
      <c r="B411" s="1">
        <v>44995</v>
      </c>
      <c r="C411" s="1" t="str">
        <f>TEXT(RetailStore[[#This Row],[Date]],"mmm")</f>
        <v>Mar</v>
      </c>
      <c r="D411">
        <v>2023</v>
      </c>
      <c r="E411" t="s">
        <v>424</v>
      </c>
      <c r="F411" t="s">
        <v>18</v>
      </c>
      <c r="G411">
        <v>27</v>
      </c>
      <c r="H411" t="s">
        <v>20</v>
      </c>
      <c r="I411">
        <v>3</v>
      </c>
      <c r="J411">
        <v>237</v>
      </c>
      <c r="K411">
        <v>711</v>
      </c>
      <c r="L4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12" spans="1:12" x14ac:dyDescent="0.3">
      <c r="A412">
        <v>411</v>
      </c>
      <c r="B412" s="1">
        <v>45286</v>
      </c>
      <c r="C412" s="1" t="str">
        <f>TEXT(RetailStore[[#This Row],[Date]],"mmm")</f>
        <v>Dec</v>
      </c>
      <c r="D412">
        <v>2023</v>
      </c>
      <c r="E412" t="s">
        <v>425</v>
      </c>
      <c r="F412" t="s">
        <v>18</v>
      </c>
      <c r="G412">
        <v>52</v>
      </c>
      <c r="H412" t="s">
        <v>12</v>
      </c>
      <c r="I412">
        <v>2</v>
      </c>
      <c r="J412">
        <v>415</v>
      </c>
      <c r="K412">
        <v>830</v>
      </c>
      <c r="L4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13" spans="1:12" x14ac:dyDescent="0.3">
      <c r="A413">
        <v>412</v>
      </c>
      <c r="B413" s="1">
        <v>45053</v>
      </c>
      <c r="C413" s="1" t="str">
        <f>TEXT(RetailStore[[#This Row],[Date]],"mmm")</f>
        <v>May</v>
      </c>
      <c r="D413">
        <v>2023</v>
      </c>
      <c r="E413" t="s">
        <v>426</v>
      </c>
      <c r="F413" t="s">
        <v>11</v>
      </c>
      <c r="G413">
        <v>51</v>
      </c>
      <c r="H413" t="s">
        <v>20</v>
      </c>
      <c r="I413">
        <v>3</v>
      </c>
      <c r="J413">
        <v>64</v>
      </c>
      <c r="K413">
        <v>192</v>
      </c>
      <c r="L4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14" spans="1:12" x14ac:dyDescent="0.3">
      <c r="A414">
        <v>413</v>
      </c>
      <c r="B414" s="1">
        <v>45215</v>
      </c>
      <c r="C414" s="1" t="str">
        <f>TEXT(RetailStore[[#This Row],[Date]],"mmm")</f>
        <v>Oct</v>
      </c>
      <c r="D414">
        <v>2023</v>
      </c>
      <c r="E414" t="s">
        <v>427</v>
      </c>
      <c r="F414" t="s">
        <v>11</v>
      </c>
      <c r="G414">
        <v>21</v>
      </c>
      <c r="H414" t="s">
        <v>12</v>
      </c>
      <c r="I414">
        <v>2</v>
      </c>
      <c r="J414">
        <v>318</v>
      </c>
      <c r="K414">
        <v>636</v>
      </c>
      <c r="L4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15" spans="1:12" x14ac:dyDescent="0.3">
      <c r="A415">
        <v>414</v>
      </c>
      <c r="B415" s="1">
        <v>45201</v>
      </c>
      <c r="C415" s="1" t="str">
        <f>TEXT(RetailStore[[#This Row],[Date]],"mmm")</f>
        <v>Oct</v>
      </c>
      <c r="D415">
        <v>2023</v>
      </c>
      <c r="E415" t="s">
        <v>428</v>
      </c>
      <c r="F415" t="s">
        <v>11</v>
      </c>
      <c r="G415">
        <v>28</v>
      </c>
      <c r="H415" t="s">
        <v>20</v>
      </c>
      <c r="I415">
        <v>4</v>
      </c>
      <c r="J415">
        <v>84</v>
      </c>
      <c r="K415">
        <v>336</v>
      </c>
      <c r="L4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16" spans="1:12" x14ac:dyDescent="0.3">
      <c r="A416">
        <v>415</v>
      </c>
      <c r="B416" s="1">
        <v>45275</v>
      </c>
      <c r="C416" s="1" t="str">
        <f>TEXT(RetailStore[[#This Row],[Date]],"mmm")</f>
        <v>Dec</v>
      </c>
      <c r="D416">
        <v>2023</v>
      </c>
      <c r="E416" t="s">
        <v>429</v>
      </c>
      <c r="F416" t="s">
        <v>11</v>
      </c>
      <c r="G416">
        <v>63</v>
      </c>
      <c r="H416" t="s">
        <v>12</v>
      </c>
      <c r="I416">
        <v>4</v>
      </c>
      <c r="J416">
        <v>71</v>
      </c>
      <c r="K416">
        <v>284</v>
      </c>
      <c r="L4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17" spans="1:12" x14ac:dyDescent="0.3">
      <c r="A417">
        <v>416</v>
      </c>
      <c r="B417" s="1">
        <v>45188</v>
      </c>
      <c r="C417" s="1" t="str">
        <f>TEXT(RetailStore[[#This Row],[Date]],"mmm")</f>
        <v>Sep</v>
      </c>
      <c r="D417">
        <v>2023</v>
      </c>
      <c r="E417" t="s">
        <v>430</v>
      </c>
      <c r="F417" t="s">
        <v>18</v>
      </c>
      <c r="G417">
        <v>21</v>
      </c>
      <c r="H417" t="s">
        <v>20</v>
      </c>
      <c r="I417">
        <v>2</v>
      </c>
      <c r="J417">
        <v>287</v>
      </c>
      <c r="K417">
        <v>574</v>
      </c>
      <c r="L4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18" spans="1:12" x14ac:dyDescent="0.3">
      <c r="A418">
        <v>417</v>
      </c>
      <c r="B418" s="1">
        <v>45139</v>
      </c>
      <c r="C418" s="1" t="str">
        <f>TEXT(RetailStore[[#This Row],[Date]],"mmm")</f>
        <v>Aug</v>
      </c>
      <c r="D418">
        <v>2023</v>
      </c>
      <c r="E418" t="s">
        <v>431</v>
      </c>
      <c r="F418" t="s">
        <v>18</v>
      </c>
      <c r="G418">
        <v>54</v>
      </c>
      <c r="H418" t="s">
        <v>15</v>
      </c>
      <c r="I418">
        <v>4</v>
      </c>
      <c r="J418">
        <v>369</v>
      </c>
      <c r="K418">
        <v>1476</v>
      </c>
      <c r="L4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19" spans="1:12" x14ac:dyDescent="0.3">
      <c r="A419">
        <v>418</v>
      </c>
      <c r="B419" s="1">
        <v>45084</v>
      </c>
      <c r="C419" s="1" t="str">
        <f>TEXT(RetailStore[[#This Row],[Date]],"mmm")</f>
        <v>Jun</v>
      </c>
      <c r="D419">
        <v>2023</v>
      </c>
      <c r="E419" t="s">
        <v>432</v>
      </c>
      <c r="F419" t="s">
        <v>11</v>
      </c>
      <c r="G419">
        <v>43</v>
      </c>
      <c r="H419" t="s">
        <v>20</v>
      </c>
      <c r="I419">
        <v>1</v>
      </c>
      <c r="J419">
        <v>406</v>
      </c>
      <c r="K419">
        <v>406</v>
      </c>
      <c r="L4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20" spans="1:12" x14ac:dyDescent="0.3">
      <c r="A420">
        <v>419</v>
      </c>
      <c r="B420" s="1">
        <v>45038</v>
      </c>
      <c r="C420" s="1" t="str">
        <f>TEXT(RetailStore[[#This Row],[Date]],"mmm")</f>
        <v>Apr</v>
      </c>
      <c r="D420">
        <v>2023</v>
      </c>
      <c r="E420" t="s">
        <v>433</v>
      </c>
      <c r="F420" t="s">
        <v>11</v>
      </c>
      <c r="G420">
        <v>20</v>
      </c>
      <c r="H420" t="s">
        <v>20</v>
      </c>
      <c r="I420">
        <v>3</v>
      </c>
      <c r="J420">
        <v>383</v>
      </c>
      <c r="K420">
        <v>1149</v>
      </c>
      <c r="L4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21" spans="1:12" x14ac:dyDescent="0.3">
      <c r="A421">
        <v>420</v>
      </c>
      <c r="B421" s="1">
        <v>44959</v>
      </c>
      <c r="C421" s="1" t="str">
        <f>TEXT(RetailStore[[#This Row],[Date]],"mmm")</f>
        <v>Feb</v>
      </c>
      <c r="D421">
        <v>2023</v>
      </c>
      <c r="E421" t="s">
        <v>434</v>
      </c>
      <c r="F421" t="s">
        <v>11</v>
      </c>
      <c r="G421">
        <v>22</v>
      </c>
      <c r="H421" t="s">
        <v>20</v>
      </c>
      <c r="I421">
        <v>1</v>
      </c>
      <c r="J421">
        <v>171</v>
      </c>
      <c r="K421">
        <v>171</v>
      </c>
      <c r="L4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22" spans="1:12" x14ac:dyDescent="0.3">
      <c r="A422">
        <v>421</v>
      </c>
      <c r="B422" s="1">
        <v>45136</v>
      </c>
      <c r="C422" s="1" t="str">
        <f>TEXT(RetailStore[[#This Row],[Date]],"mmm")</f>
        <v>Jul</v>
      </c>
      <c r="D422">
        <v>2023</v>
      </c>
      <c r="E422" t="s">
        <v>435</v>
      </c>
      <c r="F422" t="s">
        <v>11</v>
      </c>
      <c r="G422">
        <v>26</v>
      </c>
      <c r="H422" t="s">
        <v>12</v>
      </c>
      <c r="I422">
        <v>4</v>
      </c>
      <c r="J422">
        <v>216</v>
      </c>
      <c r="K422">
        <v>864</v>
      </c>
      <c r="L4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23" spans="1:12" x14ac:dyDescent="0.3">
      <c r="A423">
        <v>422</v>
      </c>
      <c r="B423" s="1">
        <v>45122</v>
      </c>
      <c r="C423" s="1" t="str">
        <f>TEXT(RetailStore[[#This Row],[Date]],"mmm")</f>
        <v>Jul</v>
      </c>
      <c r="D423">
        <v>2023</v>
      </c>
      <c r="E423" t="s">
        <v>436</v>
      </c>
      <c r="F423" t="s">
        <v>18</v>
      </c>
      <c r="G423">
        <v>42</v>
      </c>
      <c r="H423" t="s">
        <v>20</v>
      </c>
      <c r="I423">
        <v>1</v>
      </c>
      <c r="J423">
        <v>374</v>
      </c>
      <c r="K423">
        <v>374</v>
      </c>
      <c r="L4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24" spans="1:12" x14ac:dyDescent="0.3">
      <c r="A424">
        <v>423</v>
      </c>
      <c r="B424" s="1">
        <v>45265</v>
      </c>
      <c r="C424" s="1" t="str">
        <f>TEXT(RetailStore[[#This Row],[Date]],"mmm")</f>
        <v>Dec</v>
      </c>
      <c r="D424">
        <v>2023</v>
      </c>
      <c r="E424" t="s">
        <v>437</v>
      </c>
      <c r="F424" t="s">
        <v>11</v>
      </c>
      <c r="G424">
        <v>59</v>
      </c>
      <c r="H424" t="s">
        <v>20</v>
      </c>
      <c r="I424">
        <v>1</v>
      </c>
      <c r="J424">
        <v>116</v>
      </c>
      <c r="K424">
        <v>116</v>
      </c>
      <c r="L4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25" spans="1:12" x14ac:dyDescent="0.3">
      <c r="A425">
        <v>424</v>
      </c>
      <c r="B425" s="1">
        <v>45202</v>
      </c>
      <c r="C425" s="1" t="str">
        <f>TEXT(RetailStore[[#This Row],[Date]],"mmm")</f>
        <v>Oct</v>
      </c>
      <c r="D425">
        <v>2023</v>
      </c>
      <c r="E425" t="s">
        <v>438</v>
      </c>
      <c r="F425" t="s">
        <v>18</v>
      </c>
      <c r="G425">
        <v>51</v>
      </c>
      <c r="H425" t="s">
        <v>15</v>
      </c>
      <c r="I425">
        <v>2</v>
      </c>
      <c r="J425">
        <v>452</v>
      </c>
      <c r="K425">
        <v>904</v>
      </c>
      <c r="L4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26" spans="1:12" x14ac:dyDescent="0.3">
      <c r="A426">
        <v>425</v>
      </c>
      <c r="B426" s="1">
        <v>44928</v>
      </c>
      <c r="C426" s="1" t="str">
        <f>TEXT(RetailStore[[#This Row],[Date]],"mmm")</f>
        <v>Jan</v>
      </c>
      <c r="D426">
        <v>2023</v>
      </c>
      <c r="E426" t="s">
        <v>439</v>
      </c>
      <c r="F426" t="s">
        <v>11</v>
      </c>
      <c r="G426">
        <v>37</v>
      </c>
      <c r="H426" t="s">
        <v>20</v>
      </c>
      <c r="I426">
        <v>4</v>
      </c>
      <c r="J426">
        <v>297</v>
      </c>
      <c r="K426">
        <v>1188</v>
      </c>
      <c r="L4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27" spans="1:12" x14ac:dyDescent="0.3">
      <c r="A427">
        <v>426</v>
      </c>
      <c r="B427" s="1">
        <v>45121</v>
      </c>
      <c r="C427" s="1" t="str">
        <f>TEXT(RetailStore[[#This Row],[Date]],"mmm")</f>
        <v>Jul</v>
      </c>
      <c r="D427">
        <v>2023</v>
      </c>
      <c r="E427" t="s">
        <v>440</v>
      </c>
      <c r="F427" t="s">
        <v>11</v>
      </c>
      <c r="G427">
        <v>33</v>
      </c>
      <c r="H427" t="s">
        <v>20</v>
      </c>
      <c r="I427">
        <v>3</v>
      </c>
      <c r="J427">
        <v>104</v>
      </c>
      <c r="K427">
        <v>312</v>
      </c>
      <c r="L4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28" spans="1:12" x14ac:dyDescent="0.3">
      <c r="A428">
        <v>427</v>
      </c>
      <c r="B428" s="1">
        <v>45068</v>
      </c>
      <c r="C428" s="1" t="str">
        <f>TEXT(RetailStore[[#This Row],[Date]],"mmm")</f>
        <v>May</v>
      </c>
      <c r="D428">
        <v>2023</v>
      </c>
      <c r="E428" t="s">
        <v>441</v>
      </c>
      <c r="F428" t="s">
        <v>11</v>
      </c>
      <c r="G428">
        <v>64</v>
      </c>
      <c r="H428" t="s">
        <v>15</v>
      </c>
      <c r="I428">
        <v>1</v>
      </c>
      <c r="J428">
        <v>439</v>
      </c>
      <c r="K428">
        <v>439</v>
      </c>
      <c r="L4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29" spans="1:12" x14ac:dyDescent="0.3">
      <c r="A429">
        <v>428</v>
      </c>
      <c r="B429" s="1">
        <v>45265</v>
      </c>
      <c r="C429" s="1" t="str">
        <f>TEXT(RetailStore[[#This Row],[Date]],"mmm")</f>
        <v>Dec</v>
      </c>
      <c r="D429">
        <v>2023</v>
      </c>
      <c r="E429" t="s">
        <v>442</v>
      </c>
      <c r="F429" t="s">
        <v>18</v>
      </c>
      <c r="G429">
        <v>57</v>
      </c>
      <c r="H429" t="s">
        <v>15</v>
      </c>
      <c r="I429">
        <v>2</v>
      </c>
      <c r="J429">
        <v>130</v>
      </c>
      <c r="K429">
        <v>260</v>
      </c>
      <c r="L4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30" spans="1:12" x14ac:dyDescent="0.3">
      <c r="A430">
        <v>429</v>
      </c>
      <c r="B430" s="1">
        <v>44961</v>
      </c>
      <c r="C430" s="1" t="str">
        <f>TEXT(RetailStore[[#This Row],[Date]],"mmm")</f>
        <v>Feb</v>
      </c>
      <c r="D430">
        <v>2023</v>
      </c>
      <c r="E430" t="s">
        <v>443</v>
      </c>
      <c r="F430" t="s">
        <v>11</v>
      </c>
      <c r="G430">
        <v>56</v>
      </c>
      <c r="H430" t="s">
        <v>15</v>
      </c>
      <c r="I430">
        <v>4</v>
      </c>
      <c r="J430">
        <v>331</v>
      </c>
      <c r="K430">
        <v>1324</v>
      </c>
      <c r="L4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31" spans="1:12" x14ac:dyDescent="0.3">
      <c r="A431">
        <v>430</v>
      </c>
      <c r="B431" s="1">
        <v>45271</v>
      </c>
      <c r="C431" s="1" t="str">
        <f>TEXT(RetailStore[[#This Row],[Date]],"mmm")</f>
        <v>Dec</v>
      </c>
      <c r="D431">
        <v>2023</v>
      </c>
      <c r="E431" t="s">
        <v>444</v>
      </c>
      <c r="F431" t="s">
        <v>11</v>
      </c>
      <c r="G431">
        <v>33</v>
      </c>
      <c r="H431" t="s">
        <v>12</v>
      </c>
      <c r="I431">
        <v>1</v>
      </c>
      <c r="J431">
        <v>230</v>
      </c>
      <c r="K431">
        <v>230</v>
      </c>
      <c r="L4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32" spans="1:12" x14ac:dyDescent="0.3">
      <c r="A432">
        <v>431</v>
      </c>
      <c r="B432" s="1">
        <v>45151</v>
      </c>
      <c r="C432" s="1" t="str">
        <f>TEXT(RetailStore[[#This Row],[Date]],"mmm")</f>
        <v>Aug</v>
      </c>
      <c r="D432">
        <v>2023</v>
      </c>
      <c r="E432" t="s">
        <v>445</v>
      </c>
      <c r="F432" t="s">
        <v>11</v>
      </c>
      <c r="G432">
        <v>52</v>
      </c>
      <c r="H432" t="s">
        <v>15</v>
      </c>
      <c r="I432">
        <v>1</v>
      </c>
      <c r="J432">
        <v>96</v>
      </c>
      <c r="K432">
        <v>96</v>
      </c>
      <c r="L4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33" spans="1:12" x14ac:dyDescent="0.3">
      <c r="A433">
        <v>432</v>
      </c>
      <c r="B433" s="1">
        <v>45184</v>
      </c>
      <c r="C433" s="1" t="str">
        <f>TEXT(RetailStore[[#This Row],[Date]],"mmm")</f>
        <v>Sep</v>
      </c>
      <c r="D433">
        <v>2023</v>
      </c>
      <c r="E433" t="s">
        <v>446</v>
      </c>
      <c r="F433" t="s">
        <v>18</v>
      </c>
      <c r="G433">
        <v>32</v>
      </c>
      <c r="H433" t="s">
        <v>12</v>
      </c>
      <c r="I433">
        <v>3</v>
      </c>
      <c r="J433">
        <v>320</v>
      </c>
      <c r="K433">
        <v>960</v>
      </c>
      <c r="L4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34" spans="1:12" x14ac:dyDescent="0.3">
      <c r="A434">
        <v>433</v>
      </c>
      <c r="B434" s="1">
        <v>45233</v>
      </c>
      <c r="C434" s="1" t="str">
        <f>TEXT(RetailStore[[#This Row],[Date]],"mmm")</f>
        <v>Nov</v>
      </c>
      <c r="D434">
        <v>2023</v>
      </c>
      <c r="E434" t="s">
        <v>447</v>
      </c>
      <c r="F434" t="s">
        <v>18</v>
      </c>
      <c r="G434">
        <v>33</v>
      </c>
      <c r="H434" t="s">
        <v>20</v>
      </c>
      <c r="I434">
        <v>2</v>
      </c>
      <c r="J434">
        <v>363</v>
      </c>
      <c r="K434">
        <v>726</v>
      </c>
      <c r="L4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35" spans="1:12" x14ac:dyDescent="0.3">
      <c r="A435">
        <v>434</v>
      </c>
      <c r="B435" s="1">
        <v>45193</v>
      </c>
      <c r="C435" s="1" t="str">
        <f>TEXT(RetailStore[[#This Row],[Date]],"mmm")</f>
        <v>Sep</v>
      </c>
      <c r="D435">
        <v>2023</v>
      </c>
      <c r="E435" t="s">
        <v>448</v>
      </c>
      <c r="F435" t="s">
        <v>11</v>
      </c>
      <c r="G435">
        <v>44</v>
      </c>
      <c r="H435" t="s">
        <v>20</v>
      </c>
      <c r="I435">
        <v>3</v>
      </c>
      <c r="J435">
        <v>56</v>
      </c>
      <c r="K435">
        <v>168</v>
      </c>
      <c r="L4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36" spans="1:12" x14ac:dyDescent="0.3">
      <c r="A436">
        <v>435</v>
      </c>
      <c r="B436" s="1">
        <v>45212</v>
      </c>
      <c r="C436" s="1" t="str">
        <f>TEXT(RetailStore[[#This Row],[Date]],"mmm")</f>
        <v>Oct</v>
      </c>
      <c r="D436">
        <v>2023</v>
      </c>
      <c r="E436" t="s">
        <v>449</v>
      </c>
      <c r="F436" t="s">
        <v>11</v>
      </c>
      <c r="G436">
        <v>58</v>
      </c>
      <c r="H436" t="s">
        <v>12</v>
      </c>
      <c r="I436">
        <v>4</v>
      </c>
      <c r="J436">
        <v>309</v>
      </c>
      <c r="K436">
        <v>1236</v>
      </c>
      <c r="L4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37" spans="1:12" x14ac:dyDescent="0.3">
      <c r="A437">
        <v>436</v>
      </c>
      <c r="B437" s="1">
        <v>45180</v>
      </c>
      <c r="C437" s="1" t="str">
        <f>TEXT(RetailStore[[#This Row],[Date]],"mmm")</f>
        <v>Sep</v>
      </c>
      <c r="D437">
        <v>2023</v>
      </c>
      <c r="E437" t="s">
        <v>450</v>
      </c>
      <c r="F437" t="s">
        <v>11</v>
      </c>
      <c r="G437">
        <v>40</v>
      </c>
      <c r="H437" t="s">
        <v>12</v>
      </c>
      <c r="I437">
        <v>4</v>
      </c>
      <c r="J437">
        <v>427</v>
      </c>
      <c r="K437">
        <v>1708</v>
      </c>
      <c r="L4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38" spans="1:12" x14ac:dyDescent="0.3">
      <c r="A438">
        <v>437</v>
      </c>
      <c r="B438" s="1">
        <v>45195</v>
      </c>
      <c r="C438" s="1" t="str">
        <f>TEXT(RetailStore[[#This Row],[Date]],"mmm")</f>
        <v>Sep</v>
      </c>
      <c r="D438">
        <v>2023</v>
      </c>
      <c r="E438" t="s">
        <v>451</v>
      </c>
      <c r="F438" t="s">
        <v>18</v>
      </c>
      <c r="G438">
        <v>62</v>
      </c>
      <c r="H438" t="s">
        <v>20</v>
      </c>
      <c r="I438">
        <v>4</v>
      </c>
      <c r="J438">
        <v>101</v>
      </c>
      <c r="K438">
        <v>404</v>
      </c>
      <c r="L4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39" spans="1:12" x14ac:dyDescent="0.3">
      <c r="A439">
        <v>438</v>
      </c>
      <c r="B439" s="1">
        <v>45080</v>
      </c>
      <c r="C439" s="1" t="str">
        <f>TEXT(RetailStore[[#This Row],[Date]],"mmm")</f>
        <v>Jun</v>
      </c>
      <c r="D439">
        <v>2023</v>
      </c>
      <c r="E439" t="s">
        <v>452</v>
      </c>
      <c r="F439" t="s">
        <v>18</v>
      </c>
      <c r="G439">
        <v>29</v>
      </c>
      <c r="H439" t="s">
        <v>12</v>
      </c>
      <c r="I439">
        <v>4</v>
      </c>
      <c r="J439">
        <v>148</v>
      </c>
      <c r="K439">
        <v>592</v>
      </c>
      <c r="L4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0" spans="1:12" x14ac:dyDescent="0.3">
      <c r="A440">
        <v>439</v>
      </c>
      <c r="B440" s="1">
        <v>45042</v>
      </c>
      <c r="C440" s="1" t="str">
        <f>TEXT(RetailStore[[#This Row],[Date]],"mmm")</f>
        <v>Apr</v>
      </c>
      <c r="D440">
        <v>2023</v>
      </c>
      <c r="E440" t="s">
        <v>453</v>
      </c>
      <c r="F440" t="s">
        <v>18</v>
      </c>
      <c r="G440">
        <v>63</v>
      </c>
      <c r="H440" t="s">
        <v>15</v>
      </c>
      <c r="I440">
        <v>4</v>
      </c>
      <c r="J440">
        <v>493</v>
      </c>
      <c r="K440">
        <v>1972</v>
      </c>
      <c r="L4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1" spans="1:12" x14ac:dyDescent="0.3">
      <c r="A441">
        <v>440</v>
      </c>
      <c r="B441" s="1">
        <v>44956</v>
      </c>
      <c r="C441" s="1" t="str">
        <f>TEXT(RetailStore[[#This Row],[Date]],"mmm")</f>
        <v>Jan</v>
      </c>
      <c r="D441">
        <v>2023</v>
      </c>
      <c r="E441" t="s">
        <v>454</v>
      </c>
      <c r="F441" t="s">
        <v>18</v>
      </c>
      <c r="G441">
        <v>44</v>
      </c>
      <c r="H441" t="s">
        <v>12</v>
      </c>
      <c r="I441">
        <v>2</v>
      </c>
      <c r="J441">
        <v>223</v>
      </c>
      <c r="K441">
        <v>446</v>
      </c>
      <c r="L4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42" spans="1:12" x14ac:dyDescent="0.3">
      <c r="A442">
        <v>441</v>
      </c>
      <c r="B442" s="1">
        <v>45051</v>
      </c>
      <c r="C442" s="1" t="str">
        <f>TEXT(RetailStore[[#This Row],[Date]],"mmm")</f>
        <v>May</v>
      </c>
      <c r="D442">
        <v>2023</v>
      </c>
      <c r="E442" t="s">
        <v>455</v>
      </c>
      <c r="F442" t="s">
        <v>18</v>
      </c>
      <c r="G442">
        <v>31</v>
      </c>
      <c r="H442" t="s">
        <v>20</v>
      </c>
      <c r="I442">
        <v>1</v>
      </c>
      <c r="J442">
        <v>497</v>
      </c>
      <c r="K442">
        <v>497</v>
      </c>
      <c r="L4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3" spans="1:12" x14ac:dyDescent="0.3">
      <c r="A443">
        <v>442</v>
      </c>
      <c r="B443" s="1">
        <v>45157</v>
      </c>
      <c r="C443" s="1" t="str">
        <f>TEXT(RetailStore[[#This Row],[Date]],"mmm")</f>
        <v>Aug</v>
      </c>
      <c r="D443">
        <v>2023</v>
      </c>
      <c r="E443" t="s">
        <v>456</v>
      </c>
      <c r="F443" t="s">
        <v>18</v>
      </c>
      <c r="G443">
        <v>23</v>
      </c>
      <c r="H443" t="s">
        <v>12</v>
      </c>
      <c r="I443">
        <v>2</v>
      </c>
      <c r="J443">
        <v>51</v>
      </c>
      <c r="K443">
        <v>102</v>
      </c>
      <c r="L4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44" spans="1:12" x14ac:dyDescent="0.3">
      <c r="A444">
        <v>443</v>
      </c>
      <c r="B444" s="1">
        <v>45064</v>
      </c>
      <c r="C444" s="1" t="str">
        <f>TEXT(RetailStore[[#This Row],[Date]],"mmm")</f>
        <v>May</v>
      </c>
      <c r="D444">
        <v>2023</v>
      </c>
      <c r="E444" t="s">
        <v>457</v>
      </c>
      <c r="F444" t="s">
        <v>18</v>
      </c>
      <c r="G444">
        <v>61</v>
      </c>
      <c r="H444" t="s">
        <v>12</v>
      </c>
      <c r="I444">
        <v>1</v>
      </c>
      <c r="J444">
        <v>472</v>
      </c>
      <c r="K444">
        <v>472</v>
      </c>
      <c r="L4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5" spans="1:12" x14ac:dyDescent="0.3">
      <c r="A445">
        <v>444</v>
      </c>
      <c r="B445" s="1">
        <v>44964</v>
      </c>
      <c r="C445" s="1" t="str">
        <f>TEXT(RetailStore[[#This Row],[Date]],"mmm")</f>
        <v>Feb</v>
      </c>
      <c r="D445">
        <v>2023</v>
      </c>
      <c r="E445" t="s">
        <v>458</v>
      </c>
      <c r="F445" t="s">
        <v>11</v>
      </c>
      <c r="G445">
        <v>55</v>
      </c>
      <c r="H445" t="s">
        <v>12</v>
      </c>
      <c r="I445">
        <v>2</v>
      </c>
      <c r="J445">
        <v>270</v>
      </c>
      <c r="K445">
        <v>540</v>
      </c>
      <c r="L4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46" spans="1:12" x14ac:dyDescent="0.3">
      <c r="A446">
        <v>445</v>
      </c>
      <c r="B446" s="1">
        <v>45033</v>
      </c>
      <c r="C446" s="1" t="str">
        <f>TEXT(RetailStore[[#This Row],[Date]],"mmm")</f>
        <v>Apr</v>
      </c>
      <c r="D446">
        <v>2023</v>
      </c>
      <c r="E446" t="s">
        <v>459</v>
      </c>
      <c r="F446" t="s">
        <v>18</v>
      </c>
      <c r="G446">
        <v>37</v>
      </c>
      <c r="H446" t="s">
        <v>15</v>
      </c>
      <c r="I446">
        <v>2</v>
      </c>
      <c r="J446">
        <v>122</v>
      </c>
      <c r="K446">
        <v>244</v>
      </c>
      <c r="L4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7" spans="1:12" x14ac:dyDescent="0.3">
      <c r="A447">
        <v>446</v>
      </c>
      <c r="B447" s="1">
        <v>44987</v>
      </c>
      <c r="C447" s="1" t="str">
        <f>TEXT(RetailStore[[#This Row],[Date]],"mmm")</f>
        <v>Mar</v>
      </c>
      <c r="D447">
        <v>2023</v>
      </c>
      <c r="E447" t="s">
        <v>460</v>
      </c>
      <c r="F447" t="s">
        <v>18</v>
      </c>
      <c r="G447">
        <v>33</v>
      </c>
      <c r="H447" t="s">
        <v>12</v>
      </c>
      <c r="I447">
        <v>2</v>
      </c>
      <c r="J447">
        <v>228</v>
      </c>
      <c r="K447">
        <v>456</v>
      </c>
      <c r="L4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8" spans="1:12" x14ac:dyDescent="0.3">
      <c r="A448">
        <v>447</v>
      </c>
      <c r="B448" s="1">
        <v>45049</v>
      </c>
      <c r="C448" s="1" t="str">
        <f>TEXT(RetailStore[[#This Row],[Date]],"mmm")</f>
        <v>May</v>
      </c>
      <c r="D448">
        <v>2023</v>
      </c>
      <c r="E448" t="s">
        <v>461</v>
      </c>
      <c r="F448" t="s">
        <v>18</v>
      </c>
      <c r="G448">
        <v>36</v>
      </c>
      <c r="H448" t="s">
        <v>20</v>
      </c>
      <c r="I448">
        <v>4</v>
      </c>
      <c r="J448">
        <v>298</v>
      </c>
      <c r="K448">
        <v>1192</v>
      </c>
      <c r="L4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49" spans="1:12" x14ac:dyDescent="0.3">
      <c r="A449">
        <v>448</v>
      </c>
      <c r="B449" s="1">
        <v>45259</v>
      </c>
      <c r="C449" s="1" t="str">
        <f>TEXT(RetailStore[[#This Row],[Date]],"mmm")</f>
        <v>Nov</v>
      </c>
      <c r="D449">
        <v>2023</v>
      </c>
      <c r="E449" t="s">
        <v>462</v>
      </c>
      <c r="F449" t="s">
        <v>18</v>
      </c>
      <c r="G449">
        <v>37</v>
      </c>
      <c r="H449" t="s">
        <v>20</v>
      </c>
      <c r="I449">
        <v>3</v>
      </c>
      <c r="J449">
        <v>287</v>
      </c>
      <c r="K449">
        <v>861</v>
      </c>
      <c r="L4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50" spans="1:12" x14ac:dyDescent="0.3">
      <c r="A450">
        <v>449</v>
      </c>
      <c r="B450" s="1">
        <v>45181</v>
      </c>
      <c r="C450" s="1" t="str">
        <f>TEXT(RetailStore[[#This Row],[Date]],"mmm")</f>
        <v>Sep</v>
      </c>
      <c r="D450">
        <v>2023</v>
      </c>
      <c r="E450" t="s">
        <v>463</v>
      </c>
      <c r="F450" t="s">
        <v>18</v>
      </c>
      <c r="G450">
        <v>24</v>
      </c>
      <c r="H450" t="s">
        <v>12</v>
      </c>
      <c r="I450">
        <v>4</v>
      </c>
      <c r="J450">
        <v>414</v>
      </c>
      <c r="K450">
        <v>1656</v>
      </c>
      <c r="L4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51" spans="1:12" x14ac:dyDescent="0.3">
      <c r="A451">
        <v>450</v>
      </c>
      <c r="B451" s="1">
        <v>45090</v>
      </c>
      <c r="C451" s="1" t="str">
        <f>TEXT(RetailStore[[#This Row],[Date]],"mmm")</f>
        <v>Jun</v>
      </c>
      <c r="D451">
        <v>2023</v>
      </c>
      <c r="E451" t="s">
        <v>464</v>
      </c>
      <c r="F451" t="s">
        <v>11</v>
      </c>
      <c r="G451">
        <v>41</v>
      </c>
      <c r="H451" t="s">
        <v>20</v>
      </c>
      <c r="I451">
        <v>4</v>
      </c>
      <c r="J451">
        <v>48</v>
      </c>
      <c r="K451">
        <v>192</v>
      </c>
      <c r="L4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52" spans="1:12" x14ac:dyDescent="0.3">
      <c r="A452">
        <v>451</v>
      </c>
      <c r="B452" s="1">
        <v>45215</v>
      </c>
      <c r="C452" s="1" t="str">
        <f>TEXT(RetailStore[[#This Row],[Date]],"mmm")</f>
        <v>Oct</v>
      </c>
      <c r="D452">
        <v>2023</v>
      </c>
      <c r="E452" t="s">
        <v>465</v>
      </c>
      <c r="F452" t="s">
        <v>11</v>
      </c>
      <c r="G452">
        <v>27</v>
      </c>
      <c r="H452" t="s">
        <v>15</v>
      </c>
      <c r="I452">
        <v>3</v>
      </c>
      <c r="J452">
        <v>308</v>
      </c>
      <c r="K452">
        <v>924</v>
      </c>
      <c r="L4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53" spans="1:12" x14ac:dyDescent="0.3">
      <c r="A453">
        <v>452</v>
      </c>
      <c r="B453" s="1">
        <v>45226</v>
      </c>
      <c r="C453" s="1" t="str">
        <f>TEXT(RetailStore[[#This Row],[Date]],"mmm")</f>
        <v>Oct</v>
      </c>
      <c r="D453">
        <v>2023</v>
      </c>
      <c r="E453" t="s">
        <v>466</v>
      </c>
      <c r="F453" t="s">
        <v>18</v>
      </c>
      <c r="G453">
        <v>36</v>
      </c>
      <c r="H453" t="s">
        <v>15</v>
      </c>
      <c r="I453">
        <v>2</v>
      </c>
      <c r="J453">
        <v>193</v>
      </c>
      <c r="K453">
        <v>386</v>
      </c>
      <c r="L4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54" spans="1:12" x14ac:dyDescent="0.3">
      <c r="A454">
        <v>453</v>
      </c>
      <c r="B454" s="1">
        <v>45044</v>
      </c>
      <c r="C454" s="1" t="str">
        <f>TEXT(RetailStore[[#This Row],[Date]],"mmm")</f>
        <v>Apr</v>
      </c>
      <c r="D454">
        <v>2023</v>
      </c>
      <c r="E454" t="s">
        <v>467</v>
      </c>
      <c r="F454" t="s">
        <v>18</v>
      </c>
      <c r="G454">
        <v>54</v>
      </c>
      <c r="H454" t="s">
        <v>15</v>
      </c>
      <c r="I454">
        <v>4</v>
      </c>
      <c r="J454">
        <v>306</v>
      </c>
      <c r="K454">
        <v>1224</v>
      </c>
      <c r="L4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55" spans="1:12" x14ac:dyDescent="0.3">
      <c r="A455">
        <v>454</v>
      </c>
      <c r="B455" s="1">
        <v>45262</v>
      </c>
      <c r="C455" s="1" t="str">
        <f>TEXT(RetailStore[[#This Row],[Date]],"mmm")</f>
        <v>Dec</v>
      </c>
      <c r="D455">
        <v>2023</v>
      </c>
      <c r="E455" t="s">
        <v>468</v>
      </c>
      <c r="F455" t="s">
        <v>18</v>
      </c>
      <c r="G455">
        <v>34</v>
      </c>
      <c r="H455" t="s">
        <v>20</v>
      </c>
      <c r="I455">
        <v>4</v>
      </c>
      <c r="J455">
        <v>260</v>
      </c>
      <c r="K455">
        <v>1040</v>
      </c>
      <c r="L4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56" spans="1:12" x14ac:dyDescent="0.3">
      <c r="A456">
        <v>455</v>
      </c>
      <c r="B456" s="1">
        <v>45013</v>
      </c>
      <c r="C456" s="1" t="str">
        <f>TEXT(RetailStore[[#This Row],[Date]],"mmm")</f>
        <v>Mar</v>
      </c>
      <c r="D456">
        <v>2023</v>
      </c>
      <c r="E456" t="s">
        <v>469</v>
      </c>
      <c r="F456" t="s">
        <v>18</v>
      </c>
      <c r="G456">
        <v>28</v>
      </c>
      <c r="H456" t="s">
        <v>15</v>
      </c>
      <c r="I456">
        <v>4</v>
      </c>
      <c r="J456">
        <v>119</v>
      </c>
      <c r="K456">
        <v>476</v>
      </c>
      <c r="L4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57" spans="1:12" x14ac:dyDescent="0.3">
      <c r="A457">
        <v>456</v>
      </c>
      <c r="B457" s="1">
        <v>45204</v>
      </c>
      <c r="C457" s="1" t="str">
        <f>TEXT(RetailStore[[#This Row],[Date]],"mmm")</f>
        <v>Oct</v>
      </c>
      <c r="D457">
        <v>2023</v>
      </c>
      <c r="E457" t="s">
        <v>470</v>
      </c>
      <c r="F457" t="s">
        <v>11</v>
      </c>
      <c r="G457">
        <v>51</v>
      </c>
      <c r="H457" t="s">
        <v>15</v>
      </c>
      <c r="I457">
        <v>1</v>
      </c>
      <c r="J457">
        <v>443</v>
      </c>
      <c r="K457">
        <v>443</v>
      </c>
      <c r="L4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58" spans="1:12" x14ac:dyDescent="0.3">
      <c r="A458">
        <v>457</v>
      </c>
      <c r="B458" s="1">
        <v>45269</v>
      </c>
      <c r="C458" s="1" t="str">
        <f>TEXT(RetailStore[[#This Row],[Date]],"mmm")</f>
        <v>Dec</v>
      </c>
      <c r="D458">
        <v>2023</v>
      </c>
      <c r="E458" t="s">
        <v>471</v>
      </c>
      <c r="F458" t="s">
        <v>11</v>
      </c>
      <c r="G458">
        <v>18</v>
      </c>
      <c r="H458" t="s">
        <v>20</v>
      </c>
      <c r="I458">
        <v>2</v>
      </c>
      <c r="J458">
        <v>456</v>
      </c>
      <c r="K458">
        <v>912</v>
      </c>
      <c r="L4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59" spans="1:12" x14ac:dyDescent="0.3">
      <c r="A459">
        <v>458</v>
      </c>
      <c r="B459" s="1">
        <v>45249</v>
      </c>
      <c r="C459" s="1" t="str">
        <f>TEXT(RetailStore[[#This Row],[Date]],"mmm")</f>
        <v>Nov</v>
      </c>
      <c r="D459">
        <v>2023</v>
      </c>
      <c r="E459" t="s">
        <v>472</v>
      </c>
      <c r="F459" t="s">
        <v>11</v>
      </c>
      <c r="G459">
        <v>22</v>
      </c>
      <c r="H459" t="s">
        <v>12</v>
      </c>
      <c r="I459">
        <v>2</v>
      </c>
      <c r="J459">
        <v>29</v>
      </c>
      <c r="K459">
        <v>58</v>
      </c>
      <c r="L4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60" spans="1:12" x14ac:dyDescent="0.3">
      <c r="A460">
        <v>459</v>
      </c>
      <c r="B460" s="1">
        <v>45038</v>
      </c>
      <c r="C460" s="1" t="str">
        <f>TEXT(RetailStore[[#This Row],[Date]],"mmm")</f>
        <v>Apr</v>
      </c>
      <c r="D460">
        <v>2023</v>
      </c>
      <c r="E460" t="s">
        <v>473</v>
      </c>
      <c r="F460" t="s">
        <v>18</v>
      </c>
      <c r="G460">
        <v>41</v>
      </c>
      <c r="H460" t="s">
        <v>15</v>
      </c>
      <c r="I460">
        <v>4</v>
      </c>
      <c r="J460">
        <v>362</v>
      </c>
      <c r="K460">
        <v>1448</v>
      </c>
      <c r="L4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61" spans="1:12" x14ac:dyDescent="0.3">
      <c r="A461">
        <v>460</v>
      </c>
      <c r="B461" s="1">
        <v>45176</v>
      </c>
      <c r="C461" s="1" t="str">
        <f>TEXT(RetailStore[[#This Row],[Date]],"mmm")</f>
        <v>Sep</v>
      </c>
      <c r="D461">
        <v>2023</v>
      </c>
      <c r="E461" t="s">
        <v>474</v>
      </c>
      <c r="F461" t="s">
        <v>11</v>
      </c>
      <c r="G461">
        <v>18</v>
      </c>
      <c r="H461" t="s">
        <v>12</v>
      </c>
      <c r="I461">
        <v>4</v>
      </c>
      <c r="J461">
        <v>31</v>
      </c>
      <c r="K461">
        <v>124</v>
      </c>
      <c r="L4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62" spans="1:12" x14ac:dyDescent="0.3">
      <c r="A462">
        <v>461</v>
      </c>
      <c r="B462" s="1">
        <v>44935</v>
      </c>
      <c r="C462" s="1" t="str">
        <f>TEXT(RetailStore[[#This Row],[Date]],"mmm")</f>
        <v>Jan</v>
      </c>
      <c r="D462">
        <v>2023</v>
      </c>
      <c r="E462" t="s">
        <v>475</v>
      </c>
      <c r="F462" t="s">
        <v>18</v>
      </c>
      <c r="G462">
        <v>52</v>
      </c>
      <c r="H462" t="s">
        <v>20</v>
      </c>
      <c r="I462">
        <v>1</v>
      </c>
      <c r="J462">
        <v>282</v>
      </c>
      <c r="K462">
        <v>282</v>
      </c>
      <c r="L4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63" spans="1:12" x14ac:dyDescent="0.3">
      <c r="A463">
        <v>462</v>
      </c>
      <c r="B463" s="1">
        <v>45284</v>
      </c>
      <c r="C463" s="1" t="str">
        <f>TEXT(RetailStore[[#This Row],[Date]],"mmm")</f>
        <v>Dec</v>
      </c>
      <c r="D463">
        <v>2023</v>
      </c>
      <c r="E463" t="s">
        <v>476</v>
      </c>
      <c r="F463" t="s">
        <v>18</v>
      </c>
      <c r="G463">
        <v>29</v>
      </c>
      <c r="H463" t="s">
        <v>15</v>
      </c>
      <c r="I463">
        <v>1</v>
      </c>
      <c r="J463">
        <v>293</v>
      </c>
      <c r="K463">
        <v>293</v>
      </c>
      <c r="L4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64" spans="1:12" x14ac:dyDescent="0.3">
      <c r="A464">
        <v>463</v>
      </c>
      <c r="B464" s="1">
        <v>45003</v>
      </c>
      <c r="C464" s="1" t="str">
        <f>TEXT(RetailStore[[#This Row],[Date]],"mmm")</f>
        <v>Mar</v>
      </c>
      <c r="D464">
        <v>2023</v>
      </c>
      <c r="E464" t="s">
        <v>477</v>
      </c>
      <c r="F464" t="s">
        <v>11</v>
      </c>
      <c r="G464">
        <v>30</v>
      </c>
      <c r="H464" t="s">
        <v>12</v>
      </c>
      <c r="I464">
        <v>3</v>
      </c>
      <c r="J464">
        <v>442</v>
      </c>
      <c r="K464">
        <v>1326</v>
      </c>
      <c r="L4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65" spans="1:12" x14ac:dyDescent="0.3">
      <c r="A465">
        <v>464</v>
      </c>
      <c r="B465" s="1">
        <v>45108</v>
      </c>
      <c r="C465" s="1" t="str">
        <f>TEXT(RetailStore[[#This Row],[Date]],"mmm")</f>
        <v>Jul</v>
      </c>
      <c r="D465">
        <v>2023</v>
      </c>
      <c r="E465" t="s">
        <v>478</v>
      </c>
      <c r="F465" t="s">
        <v>18</v>
      </c>
      <c r="G465">
        <v>43</v>
      </c>
      <c r="H465" t="s">
        <v>15</v>
      </c>
      <c r="I465">
        <v>3</v>
      </c>
      <c r="J465">
        <v>232</v>
      </c>
      <c r="K465">
        <v>696</v>
      </c>
      <c r="L4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66" spans="1:12" x14ac:dyDescent="0.3">
      <c r="A466">
        <v>465</v>
      </c>
      <c r="B466" s="1">
        <v>45162</v>
      </c>
      <c r="C466" s="1" t="str">
        <f>TEXT(RetailStore[[#This Row],[Date]],"mmm")</f>
        <v>Aug</v>
      </c>
      <c r="D466">
        <v>2023</v>
      </c>
      <c r="E466" t="s">
        <v>479</v>
      </c>
      <c r="F466" t="s">
        <v>11</v>
      </c>
      <c r="G466">
        <v>62</v>
      </c>
      <c r="H466" t="s">
        <v>15</v>
      </c>
      <c r="I466">
        <v>3</v>
      </c>
      <c r="J466">
        <v>375</v>
      </c>
      <c r="K466">
        <v>1125</v>
      </c>
      <c r="L4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67" spans="1:12" x14ac:dyDescent="0.3">
      <c r="A467">
        <v>466</v>
      </c>
      <c r="B467" s="1">
        <v>44968</v>
      </c>
      <c r="C467" s="1" t="str">
        <f>TEXT(RetailStore[[#This Row],[Date]],"mmm")</f>
        <v>Feb</v>
      </c>
      <c r="D467">
        <v>2023</v>
      </c>
      <c r="E467" t="s">
        <v>480</v>
      </c>
      <c r="F467" t="s">
        <v>11</v>
      </c>
      <c r="G467">
        <v>23</v>
      </c>
      <c r="H467" t="s">
        <v>20</v>
      </c>
      <c r="I467">
        <v>4</v>
      </c>
      <c r="J467">
        <v>218</v>
      </c>
      <c r="K467">
        <v>872</v>
      </c>
      <c r="L4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68" spans="1:12" x14ac:dyDescent="0.3">
      <c r="A468">
        <v>467</v>
      </c>
      <c r="B468" s="1">
        <v>45209</v>
      </c>
      <c r="C468" s="1" t="str">
        <f>TEXT(RetailStore[[#This Row],[Date]],"mmm")</f>
        <v>Oct</v>
      </c>
      <c r="D468">
        <v>2023</v>
      </c>
      <c r="E468" t="s">
        <v>481</v>
      </c>
      <c r="F468" t="s">
        <v>18</v>
      </c>
      <c r="G468">
        <v>21</v>
      </c>
      <c r="H468" t="s">
        <v>12</v>
      </c>
      <c r="I468">
        <v>1</v>
      </c>
      <c r="J468">
        <v>384</v>
      </c>
      <c r="K468">
        <v>384</v>
      </c>
      <c r="L4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69" spans="1:12" x14ac:dyDescent="0.3">
      <c r="A469">
        <v>468</v>
      </c>
      <c r="B469" s="1">
        <v>45014</v>
      </c>
      <c r="C469" s="1" t="str">
        <f>TEXT(RetailStore[[#This Row],[Date]],"mmm")</f>
        <v>Mar</v>
      </c>
      <c r="D469">
        <v>2023</v>
      </c>
      <c r="E469" t="s">
        <v>482</v>
      </c>
      <c r="F469" t="s">
        <v>11</v>
      </c>
      <c r="G469">
        <v>49</v>
      </c>
      <c r="H469" t="s">
        <v>20</v>
      </c>
      <c r="I469">
        <v>3</v>
      </c>
      <c r="J469">
        <v>314</v>
      </c>
      <c r="K469">
        <v>942</v>
      </c>
      <c r="L4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70" spans="1:12" x14ac:dyDescent="0.3">
      <c r="A470">
        <v>469</v>
      </c>
      <c r="B470" s="1">
        <v>44975</v>
      </c>
      <c r="C470" s="1" t="str">
        <f>TEXT(RetailStore[[#This Row],[Date]],"mmm")</f>
        <v>Feb</v>
      </c>
      <c r="D470">
        <v>2023</v>
      </c>
      <c r="E470" t="s">
        <v>483</v>
      </c>
      <c r="F470" t="s">
        <v>11</v>
      </c>
      <c r="G470">
        <v>32</v>
      </c>
      <c r="H470" t="s">
        <v>15</v>
      </c>
      <c r="I470">
        <v>4</v>
      </c>
      <c r="J470">
        <v>163</v>
      </c>
      <c r="K470">
        <v>652</v>
      </c>
      <c r="L4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71" spans="1:12" x14ac:dyDescent="0.3">
      <c r="A471">
        <v>470</v>
      </c>
      <c r="B471" s="1">
        <v>44950</v>
      </c>
      <c r="C471" s="1" t="str">
        <f>TEXT(RetailStore[[#This Row],[Date]],"mmm")</f>
        <v>Jan</v>
      </c>
      <c r="D471">
        <v>2023</v>
      </c>
      <c r="E471" t="s">
        <v>484</v>
      </c>
      <c r="F471" t="s">
        <v>11</v>
      </c>
      <c r="G471">
        <v>61</v>
      </c>
      <c r="H471" t="s">
        <v>20</v>
      </c>
      <c r="I471">
        <v>1</v>
      </c>
      <c r="J471">
        <v>116</v>
      </c>
      <c r="K471">
        <v>116</v>
      </c>
      <c r="L4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72" spans="1:12" x14ac:dyDescent="0.3">
      <c r="A472">
        <v>471</v>
      </c>
      <c r="B472" s="1">
        <v>45088</v>
      </c>
      <c r="C472" s="1" t="str">
        <f>TEXT(RetailStore[[#This Row],[Date]],"mmm")</f>
        <v>Jun</v>
      </c>
      <c r="D472">
        <v>2023</v>
      </c>
      <c r="E472" t="s">
        <v>485</v>
      </c>
      <c r="F472" t="s">
        <v>11</v>
      </c>
      <c r="G472">
        <v>31</v>
      </c>
      <c r="H472" t="s">
        <v>12</v>
      </c>
      <c r="I472">
        <v>2</v>
      </c>
      <c r="J472">
        <v>410</v>
      </c>
      <c r="K472">
        <v>820</v>
      </c>
      <c r="L4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73" spans="1:12" x14ac:dyDescent="0.3">
      <c r="A473">
        <v>472</v>
      </c>
      <c r="B473" s="1">
        <v>45291</v>
      </c>
      <c r="C473" s="1" t="str">
        <f>TEXT(RetailStore[[#This Row],[Date]],"mmm")</f>
        <v>Dec</v>
      </c>
      <c r="D473">
        <v>2023</v>
      </c>
      <c r="E473" t="s">
        <v>486</v>
      </c>
      <c r="F473" t="s">
        <v>18</v>
      </c>
      <c r="G473">
        <v>22</v>
      </c>
      <c r="H473" t="s">
        <v>20</v>
      </c>
      <c r="I473">
        <v>2</v>
      </c>
      <c r="J473">
        <v>313</v>
      </c>
      <c r="K473">
        <v>626</v>
      </c>
      <c r="L4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74" spans="1:12" x14ac:dyDescent="0.3">
      <c r="A474">
        <v>473</v>
      </c>
      <c r="B474" s="1">
        <v>45050</v>
      </c>
      <c r="C474" s="1" t="str">
        <f>TEXT(RetailStore[[#This Row],[Date]],"mmm")</f>
        <v>May</v>
      </c>
      <c r="D474">
        <v>2023</v>
      </c>
      <c r="E474" t="s">
        <v>487</v>
      </c>
      <c r="F474" t="s">
        <v>18</v>
      </c>
      <c r="G474">
        <v>61</v>
      </c>
      <c r="H474" t="s">
        <v>12</v>
      </c>
      <c r="I474">
        <v>3</v>
      </c>
      <c r="J474">
        <v>221</v>
      </c>
      <c r="K474">
        <v>663</v>
      </c>
      <c r="L4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75" spans="1:12" x14ac:dyDescent="0.3">
      <c r="A475">
        <v>474</v>
      </c>
      <c r="B475" s="1">
        <v>44998</v>
      </c>
      <c r="C475" s="1" t="str">
        <f>TEXT(RetailStore[[#This Row],[Date]],"mmm")</f>
        <v>Mar</v>
      </c>
      <c r="D475">
        <v>2023</v>
      </c>
      <c r="E475" t="s">
        <v>488</v>
      </c>
      <c r="F475" t="s">
        <v>11</v>
      </c>
      <c r="G475">
        <v>50</v>
      </c>
      <c r="H475" t="s">
        <v>12</v>
      </c>
      <c r="I475">
        <v>3</v>
      </c>
      <c r="J475">
        <v>52</v>
      </c>
      <c r="K475">
        <v>156</v>
      </c>
      <c r="L4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76" spans="1:12" x14ac:dyDescent="0.3">
      <c r="A476">
        <v>475</v>
      </c>
      <c r="B476" s="1">
        <v>44977</v>
      </c>
      <c r="C476" s="1" t="str">
        <f>TEXT(RetailStore[[#This Row],[Date]],"mmm")</f>
        <v>Feb</v>
      </c>
      <c r="D476">
        <v>2023</v>
      </c>
      <c r="E476" t="s">
        <v>489</v>
      </c>
      <c r="F476" t="s">
        <v>18</v>
      </c>
      <c r="G476">
        <v>32</v>
      </c>
      <c r="H476" t="s">
        <v>15</v>
      </c>
      <c r="I476">
        <v>3</v>
      </c>
      <c r="J476">
        <v>334</v>
      </c>
      <c r="K476">
        <v>1002</v>
      </c>
      <c r="L4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77" spans="1:12" x14ac:dyDescent="0.3">
      <c r="A477">
        <v>476</v>
      </c>
      <c r="B477" s="1">
        <v>45241</v>
      </c>
      <c r="C477" s="1" t="str">
        <f>TEXT(RetailStore[[#This Row],[Date]],"mmm")</f>
        <v>Nov</v>
      </c>
      <c r="D477">
        <v>2023</v>
      </c>
      <c r="E477" t="s">
        <v>490</v>
      </c>
      <c r="F477" t="s">
        <v>18</v>
      </c>
      <c r="G477">
        <v>38</v>
      </c>
      <c r="H477" t="s">
        <v>15</v>
      </c>
      <c r="I477">
        <v>3</v>
      </c>
      <c r="J477">
        <v>426</v>
      </c>
      <c r="K477">
        <v>1278</v>
      </c>
      <c r="L4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78" spans="1:12" x14ac:dyDescent="0.3">
      <c r="A478">
        <v>477</v>
      </c>
      <c r="B478" s="1">
        <v>45157</v>
      </c>
      <c r="C478" s="1" t="str">
        <f>TEXT(RetailStore[[#This Row],[Date]],"mmm")</f>
        <v>Aug</v>
      </c>
      <c r="D478">
        <v>2023</v>
      </c>
      <c r="E478" t="s">
        <v>491</v>
      </c>
      <c r="F478" t="s">
        <v>18</v>
      </c>
      <c r="G478">
        <v>32</v>
      </c>
      <c r="H478" t="s">
        <v>20</v>
      </c>
      <c r="I478">
        <v>4</v>
      </c>
      <c r="J478">
        <v>246</v>
      </c>
      <c r="K478">
        <v>984</v>
      </c>
      <c r="L4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79" spans="1:12" x14ac:dyDescent="0.3">
      <c r="A479">
        <v>478</v>
      </c>
      <c r="B479" s="1">
        <v>45022</v>
      </c>
      <c r="C479" s="1" t="str">
        <f>TEXT(RetailStore[[#This Row],[Date]],"mmm")</f>
        <v>Apr</v>
      </c>
      <c r="D479">
        <v>2023</v>
      </c>
      <c r="E479" t="s">
        <v>492</v>
      </c>
      <c r="F479" t="s">
        <v>18</v>
      </c>
      <c r="G479">
        <v>23</v>
      </c>
      <c r="H479" t="s">
        <v>12</v>
      </c>
      <c r="I479">
        <v>3</v>
      </c>
      <c r="J479">
        <v>433</v>
      </c>
      <c r="K479">
        <v>1299</v>
      </c>
      <c r="L4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80" spans="1:12" x14ac:dyDescent="0.3">
      <c r="A480">
        <v>479</v>
      </c>
      <c r="B480" s="1">
        <v>45053</v>
      </c>
      <c r="C480" s="1" t="str">
        <f>TEXT(RetailStore[[#This Row],[Date]],"mmm")</f>
        <v>May</v>
      </c>
      <c r="D480">
        <v>2023</v>
      </c>
      <c r="E480" t="s">
        <v>493</v>
      </c>
      <c r="F480" t="s">
        <v>11</v>
      </c>
      <c r="G480">
        <v>23</v>
      </c>
      <c r="H480" t="s">
        <v>20</v>
      </c>
      <c r="I480">
        <v>2</v>
      </c>
      <c r="J480">
        <v>219</v>
      </c>
      <c r="K480">
        <v>438</v>
      </c>
      <c r="L4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81" spans="1:12" x14ac:dyDescent="0.3">
      <c r="A481">
        <v>480</v>
      </c>
      <c r="B481" s="1">
        <v>45291</v>
      </c>
      <c r="C481" s="1" t="str">
        <f>TEXT(RetailStore[[#This Row],[Date]],"mmm")</f>
        <v>Dec</v>
      </c>
      <c r="D481">
        <v>2023</v>
      </c>
      <c r="E481" t="s">
        <v>494</v>
      </c>
      <c r="F481" t="s">
        <v>11</v>
      </c>
      <c r="G481">
        <v>42</v>
      </c>
      <c r="H481" t="s">
        <v>20</v>
      </c>
      <c r="I481">
        <v>3</v>
      </c>
      <c r="J481">
        <v>79</v>
      </c>
      <c r="K481">
        <v>237</v>
      </c>
      <c r="L4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82" spans="1:12" x14ac:dyDescent="0.3">
      <c r="A482">
        <v>481</v>
      </c>
      <c r="B482" s="1">
        <v>44973</v>
      </c>
      <c r="C482" s="1" t="str">
        <f>TEXT(RetailStore[[#This Row],[Date]],"mmm")</f>
        <v>Feb</v>
      </c>
      <c r="D482">
        <v>2023</v>
      </c>
      <c r="E482" t="s">
        <v>495</v>
      </c>
      <c r="F482" t="s">
        <v>11</v>
      </c>
      <c r="G482">
        <v>37</v>
      </c>
      <c r="H482" t="s">
        <v>20</v>
      </c>
      <c r="I482">
        <v>3</v>
      </c>
      <c r="J482">
        <v>414</v>
      </c>
      <c r="K482">
        <v>1242</v>
      </c>
      <c r="L4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83" spans="1:12" x14ac:dyDescent="0.3">
      <c r="A483">
        <v>482</v>
      </c>
      <c r="B483" s="1">
        <v>45065</v>
      </c>
      <c r="C483" s="1" t="str">
        <f>TEXT(RetailStore[[#This Row],[Date]],"mmm")</f>
        <v>May</v>
      </c>
      <c r="D483">
        <v>2023</v>
      </c>
      <c r="E483" t="s">
        <v>496</v>
      </c>
      <c r="F483" t="s">
        <v>11</v>
      </c>
      <c r="G483">
        <v>26</v>
      </c>
      <c r="H483" t="s">
        <v>15</v>
      </c>
      <c r="I483">
        <v>2</v>
      </c>
      <c r="J483">
        <v>245</v>
      </c>
      <c r="K483">
        <v>490</v>
      </c>
      <c r="L4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84" spans="1:12" x14ac:dyDescent="0.3">
      <c r="A484">
        <v>483</v>
      </c>
      <c r="B484" s="1">
        <v>45156</v>
      </c>
      <c r="C484" s="1" t="str">
        <f>TEXT(RetailStore[[#This Row],[Date]],"mmm")</f>
        <v>Aug</v>
      </c>
      <c r="D484">
        <v>2023</v>
      </c>
      <c r="E484" t="s">
        <v>497</v>
      </c>
      <c r="F484" t="s">
        <v>18</v>
      </c>
      <c r="G484">
        <v>24</v>
      </c>
      <c r="H484" t="s">
        <v>15</v>
      </c>
      <c r="I484">
        <v>1</v>
      </c>
      <c r="J484">
        <v>206</v>
      </c>
      <c r="K484">
        <v>206</v>
      </c>
      <c r="L4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85" spans="1:12" x14ac:dyDescent="0.3">
      <c r="A485">
        <v>484</v>
      </c>
      <c r="B485" s="1">
        <v>45210</v>
      </c>
      <c r="C485" s="1" t="str">
        <f>TEXT(RetailStore[[#This Row],[Date]],"mmm")</f>
        <v>Oct</v>
      </c>
      <c r="D485">
        <v>2023</v>
      </c>
      <c r="E485" t="s">
        <v>498</v>
      </c>
      <c r="F485" t="s">
        <v>11</v>
      </c>
      <c r="G485">
        <v>56</v>
      </c>
      <c r="H485" t="s">
        <v>12</v>
      </c>
      <c r="I485">
        <v>3</v>
      </c>
      <c r="J485">
        <v>467</v>
      </c>
      <c r="K485">
        <v>1401</v>
      </c>
      <c r="L4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86" spans="1:12" x14ac:dyDescent="0.3">
      <c r="A486">
        <v>485</v>
      </c>
      <c r="B486" s="1">
        <v>45124</v>
      </c>
      <c r="C486" s="1" t="str">
        <f>TEXT(RetailStore[[#This Row],[Date]],"mmm")</f>
        <v>Jul</v>
      </c>
      <c r="D486">
        <v>2023</v>
      </c>
      <c r="E486" t="s">
        <v>499</v>
      </c>
      <c r="F486" t="s">
        <v>11</v>
      </c>
      <c r="G486">
        <v>36</v>
      </c>
      <c r="H486" t="s">
        <v>20</v>
      </c>
      <c r="I486">
        <v>4</v>
      </c>
      <c r="J486">
        <v>423</v>
      </c>
      <c r="K486">
        <v>1692</v>
      </c>
      <c r="L4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87" spans="1:12" x14ac:dyDescent="0.3">
      <c r="A487">
        <v>486</v>
      </c>
      <c r="B487" s="1">
        <v>44970</v>
      </c>
      <c r="C487" s="1" t="str">
        <f>TEXT(RetailStore[[#This Row],[Date]],"mmm")</f>
        <v>Feb</v>
      </c>
      <c r="D487">
        <v>2023</v>
      </c>
      <c r="E487" t="s">
        <v>500</v>
      </c>
      <c r="F487" t="s">
        <v>11</v>
      </c>
      <c r="G487">
        <v>54</v>
      </c>
      <c r="H487" t="s">
        <v>12</v>
      </c>
      <c r="I487">
        <v>2</v>
      </c>
      <c r="J487">
        <v>375</v>
      </c>
      <c r="K487">
        <v>750</v>
      </c>
      <c r="L4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88" spans="1:12" x14ac:dyDescent="0.3">
      <c r="A488">
        <v>487</v>
      </c>
      <c r="B488" s="1">
        <v>45121</v>
      </c>
      <c r="C488" s="1" t="str">
        <f>TEXT(RetailStore[[#This Row],[Date]],"mmm")</f>
        <v>Jul</v>
      </c>
      <c r="D488">
        <v>2023</v>
      </c>
      <c r="E488" t="s">
        <v>501</v>
      </c>
      <c r="F488" t="s">
        <v>11</v>
      </c>
      <c r="G488">
        <v>26</v>
      </c>
      <c r="H488" t="s">
        <v>20</v>
      </c>
      <c r="I488">
        <v>3</v>
      </c>
      <c r="J488">
        <v>162</v>
      </c>
      <c r="K488">
        <v>486</v>
      </c>
      <c r="L4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89" spans="1:12" x14ac:dyDescent="0.3">
      <c r="A489">
        <v>488</v>
      </c>
      <c r="B489" s="1">
        <v>45179</v>
      </c>
      <c r="C489" s="1" t="str">
        <f>TEXT(RetailStore[[#This Row],[Date]],"mmm")</f>
        <v>Sep</v>
      </c>
      <c r="D489">
        <v>2023</v>
      </c>
      <c r="E489" t="s">
        <v>502</v>
      </c>
      <c r="F489" t="s">
        <v>11</v>
      </c>
      <c r="G489">
        <v>22</v>
      </c>
      <c r="H489" t="s">
        <v>15</v>
      </c>
      <c r="I489">
        <v>4</v>
      </c>
      <c r="J489">
        <v>166</v>
      </c>
      <c r="K489">
        <v>664</v>
      </c>
      <c r="L4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90" spans="1:12" x14ac:dyDescent="0.3">
      <c r="A490">
        <v>489</v>
      </c>
      <c r="B490" s="1">
        <v>45142</v>
      </c>
      <c r="C490" s="1" t="str">
        <f>TEXT(RetailStore[[#This Row],[Date]],"mmm")</f>
        <v>Aug</v>
      </c>
      <c r="D490">
        <v>2023</v>
      </c>
      <c r="E490" t="s">
        <v>503</v>
      </c>
      <c r="F490" t="s">
        <v>18</v>
      </c>
      <c r="G490">
        <v>48</v>
      </c>
      <c r="H490" t="s">
        <v>15</v>
      </c>
      <c r="I490">
        <v>3</v>
      </c>
      <c r="J490">
        <v>153</v>
      </c>
      <c r="K490">
        <v>459</v>
      </c>
      <c r="L4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91" spans="1:12" x14ac:dyDescent="0.3">
      <c r="A491">
        <v>490</v>
      </c>
      <c r="B491" s="1">
        <v>45053</v>
      </c>
      <c r="C491" s="1" t="str">
        <f>TEXT(RetailStore[[#This Row],[Date]],"mmm")</f>
        <v>May</v>
      </c>
      <c r="D491">
        <v>2023</v>
      </c>
      <c r="E491" t="s">
        <v>504</v>
      </c>
      <c r="F491" t="s">
        <v>18</v>
      </c>
      <c r="G491">
        <v>56</v>
      </c>
      <c r="H491" t="s">
        <v>12</v>
      </c>
      <c r="I491">
        <v>2</v>
      </c>
      <c r="J491">
        <v>259</v>
      </c>
      <c r="K491">
        <v>518</v>
      </c>
      <c r="L4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92" spans="1:12" x14ac:dyDescent="0.3">
      <c r="A492">
        <v>491</v>
      </c>
      <c r="B492" s="1">
        <v>44981</v>
      </c>
      <c r="C492" s="1" t="str">
        <f>TEXT(RetailStore[[#This Row],[Date]],"mmm")</f>
        <v>Feb</v>
      </c>
      <c r="D492">
        <v>2023</v>
      </c>
      <c r="E492" t="s">
        <v>505</v>
      </c>
      <c r="F492" t="s">
        <v>11</v>
      </c>
      <c r="G492">
        <v>37</v>
      </c>
      <c r="H492" t="s">
        <v>15</v>
      </c>
      <c r="I492">
        <v>4</v>
      </c>
      <c r="J492">
        <v>195</v>
      </c>
      <c r="K492">
        <v>780</v>
      </c>
      <c r="L4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93" spans="1:12" x14ac:dyDescent="0.3">
      <c r="A493">
        <v>492</v>
      </c>
      <c r="B493" s="1">
        <v>45244</v>
      </c>
      <c r="C493" s="1" t="str">
        <f>TEXT(RetailStore[[#This Row],[Date]],"mmm")</f>
        <v>Nov</v>
      </c>
      <c r="D493">
        <v>2023</v>
      </c>
      <c r="E493" t="s">
        <v>506</v>
      </c>
      <c r="F493" t="s">
        <v>18</v>
      </c>
      <c r="G493">
        <v>39</v>
      </c>
      <c r="H493" t="s">
        <v>20</v>
      </c>
      <c r="I493">
        <v>3</v>
      </c>
      <c r="J493">
        <v>245</v>
      </c>
      <c r="K493">
        <v>735</v>
      </c>
      <c r="L4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94" spans="1:12" x14ac:dyDescent="0.3">
      <c r="A494">
        <v>493</v>
      </c>
      <c r="B494" s="1">
        <v>45260</v>
      </c>
      <c r="C494" s="1" t="str">
        <f>TEXT(RetailStore[[#This Row],[Date]],"mmm")</f>
        <v>Nov</v>
      </c>
      <c r="D494">
        <v>2023</v>
      </c>
      <c r="E494" t="s">
        <v>507</v>
      </c>
      <c r="F494" t="s">
        <v>11</v>
      </c>
      <c r="G494">
        <v>37</v>
      </c>
      <c r="H494" t="s">
        <v>20</v>
      </c>
      <c r="I494">
        <v>2</v>
      </c>
      <c r="J494">
        <v>270</v>
      </c>
      <c r="K494">
        <v>540</v>
      </c>
      <c r="L4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95" spans="1:12" x14ac:dyDescent="0.3">
      <c r="A495">
        <v>494</v>
      </c>
      <c r="B495" s="1">
        <v>45087</v>
      </c>
      <c r="C495" s="1" t="str">
        <f>TEXT(RetailStore[[#This Row],[Date]],"mmm")</f>
        <v>Jun</v>
      </c>
      <c r="D495">
        <v>2023</v>
      </c>
      <c r="E495" t="s">
        <v>508</v>
      </c>
      <c r="F495" t="s">
        <v>11</v>
      </c>
      <c r="G495">
        <v>43</v>
      </c>
      <c r="H495" t="s">
        <v>20</v>
      </c>
      <c r="I495">
        <v>3</v>
      </c>
      <c r="J495">
        <v>401</v>
      </c>
      <c r="K495">
        <v>1203</v>
      </c>
      <c r="L4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96" spans="1:12" x14ac:dyDescent="0.3">
      <c r="A496">
        <v>495</v>
      </c>
      <c r="B496" s="1">
        <v>45282</v>
      </c>
      <c r="C496" s="1" t="str">
        <f>TEXT(RetailStore[[#This Row],[Date]],"mmm")</f>
        <v>Dec</v>
      </c>
      <c r="D496">
        <v>2023</v>
      </c>
      <c r="E496" t="s">
        <v>509</v>
      </c>
      <c r="F496" t="s">
        <v>18</v>
      </c>
      <c r="G496">
        <v>54</v>
      </c>
      <c r="H496" t="s">
        <v>15</v>
      </c>
      <c r="I496">
        <v>3</v>
      </c>
      <c r="J496">
        <v>217</v>
      </c>
      <c r="K496">
        <v>651</v>
      </c>
      <c r="L4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497" spans="1:12" x14ac:dyDescent="0.3">
      <c r="A497">
        <v>496</v>
      </c>
      <c r="B497" s="1">
        <v>45070</v>
      </c>
      <c r="C497" s="1" t="str">
        <f>TEXT(RetailStore[[#This Row],[Date]],"mmm")</f>
        <v>May</v>
      </c>
      <c r="D497">
        <v>2023</v>
      </c>
      <c r="E497" t="s">
        <v>510</v>
      </c>
      <c r="F497" t="s">
        <v>18</v>
      </c>
      <c r="G497">
        <v>41</v>
      </c>
      <c r="H497" t="s">
        <v>15</v>
      </c>
      <c r="I497">
        <v>2</v>
      </c>
      <c r="J497">
        <v>328</v>
      </c>
      <c r="K497">
        <v>656</v>
      </c>
      <c r="L4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498" spans="1:12" x14ac:dyDescent="0.3">
      <c r="A498">
        <v>497</v>
      </c>
      <c r="B498" s="1">
        <v>45206</v>
      </c>
      <c r="C498" s="1" t="str">
        <f>TEXT(RetailStore[[#This Row],[Date]],"mmm")</f>
        <v>Oct</v>
      </c>
      <c r="D498">
        <v>2023</v>
      </c>
      <c r="E498" t="s">
        <v>511</v>
      </c>
      <c r="F498" t="s">
        <v>11</v>
      </c>
      <c r="G498">
        <v>61</v>
      </c>
      <c r="H498" t="s">
        <v>12</v>
      </c>
      <c r="I498">
        <v>1</v>
      </c>
      <c r="J498">
        <v>397</v>
      </c>
      <c r="K498">
        <v>397</v>
      </c>
      <c r="L4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499" spans="1:12" x14ac:dyDescent="0.3">
      <c r="A499">
        <v>498</v>
      </c>
      <c r="B499" s="1">
        <v>45163</v>
      </c>
      <c r="C499" s="1" t="str">
        <f>TEXT(RetailStore[[#This Row],[Date]],"mmm")</f>
        <v>Aug</v>
      </c>
      <c r="D499">
        <v>2023</v>
      </c>
      <c r="E499" t="s">
        <v>512</v>
      </c>
      <c r="F499" t="s">
        <v>11</v>
      </c>
      <c r="G499">
        <v>46</v>
      </c>
      <c r="H499" t="s">
        <v>20</v>
      </c>
      <c r="I499">
        <v>1</v>
      </c>
      <c r="J499">
        <v>444</v>
      </c>
      <c r="K499">
        <v>444</v>
      </c>
      <c r="L4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00" spans="1:12" x14ac:dyDescent="0.3">
      <c r="A500">
        <v>499</v>
      </c>
      <c r="B500" s="1">
        <v>45136</v>
      </c>
      <c r="C500" s="1" t="str">
        <f>TEXT(RetailStore[[#This Row],[Date]],"mmm")</f>
        <v>Jul</v>
      </c>
      <c r="D500">
        <v>2023</v>
      </c>
      <c r="E500" t="s">
        <v>513</v>
      </c>
      <c r="F500" t="s">
        <v>18</v>
      </c>
      <c r="G500">
        <v>26</v>
      </c>
      <c r="H500" t="s">
        <v>12</v>
      </c>
      <c r="I500">
        <v>3</v>
      </c>
      <c r="J500">
        <v>148</v>
      </c>
      <c r="K500">
        <v>444</v>
      </c>
      <c r="L5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01" spans="1:12" x14ac:dyDescent="0.3">
      <c r="A501">
        <v>500</v>
      </c>
      <c r="B501" s="1">
        <v>45056</v>
      </c>
      <c r="C501" s="1" t="str">
        <f>TEXT(RetailStore[[#This Row],[Date]],"mmm")</f>
        <v>May</v>
      </c>
      <c r="D501">
        <v>2023</v>
      </c>
      <c r="E501" t="s">
        <v>514</v>
      </c>
      <c r="F501" t="s">
        <v>11</v>
      </c>
      <c r="G501">
        <v>63</v>
      </c>
      <c r="H501" t="s">
        <v>20</v>
      </c>
      <c r="I501">
        <v>4</v>
      </c>
      <c r="J501">
        <v>62</v>
      </c>
      <c r="K501">
        <v>248</v>
      </c>
      <c r="L5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02" spans="1:12" x14ac:dyDescent="0.3">
      <c r="A502">
        <v>501</v>
      </c>
      <c r="B502" s="1">
        <v>45156</v>
      </c>
      <c r="C502" s="1" t="str">
        <f>TEXT(RetailStore[[#This Row],[Date]],"mmm")</f>
        <v>Aug</v>
      </c>
      <c r="D502">
        <v>2023</v>
      </c>
      <c r="E502" t="s">
        <v>515</v>
      </c>
      <c r="F502" t="s">
        <v>18</v>
      </c>
      <c r="G502">
        <v>55</v>
      </c>
      <c r="H502" t="s">
        <v>20</v>
      </c>
      <c r="I502">
        <v>4</v>
      </c>
      <c r="J502">
        <v>303</v>
      </c>
      <c r="K502">
        <v>1212</v>
      </c>
      <c r="L5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03" spans="1:12" x14ac:dyDescent="0.3">
      <c r="A503">
        <v>502</v>
      </c>
      <c r="B503" s="1">
        <v>44945</v>
      </c>
      <c r="C503" s="1" t="str">
        <f>TEXT(RetailStore[[#This Row],[Date]],"mmm")</f>
        <v>Jan</v>
      </c>
      <c r="D503">
        <v>2023</v>
      </c>
      <c r="E503" t="s">
        <v>516</v>
      </c>
      <c r="F503" t="s">
        <v>18</v>
      </c>
      <c r="G503">
        <v>62</v>
      </c>
      <c r="H503" t="s">
        <v>12</v>
      </c>
      <c r="I503">
        <v>1</v>
      </c>
      <c r="J503">
        <v>80</v>
      </c>
      <c r="K503">
        <v>80</v>
      </c>
      <c r="L5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04" spans="1:12" x14ac:dyDescent="0.3">
      <c r="A504">
        <v>503</v>
      </c>
      <c r="B504" s="1">
        <v>45054</v>
      </c>
      <c r="C504" s="1" t="str">
        <f>TEXT(RetailStore[[#This Row],[Date]],"mmm")</f>
        <v>May</v>
      </c>
      <c r="D504">
        <v>2023</v>
      </c>
      <c r="E504" t="s">
        <v>517</v>
      </c>
      <c r="F504" t="s">
        <v>18</v>
      </c>
      <c r="G504">
        <v>28</v>
      </c>
      <c r="H504" t="s">
        <v>12</v>
      </c>
      <c r="I504">
        <v>1</v>
      </c>
      <c r="J504">
        <v>313</v>
      </c>
      <c r="K504">
        <v>313</v>
      </c>
      <c r="L5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05" spans="1:12" x14ac:dyDescent="0.3">
      <c r="A505">
        <v>504</v>
      </c>
      <c r="B505" s="1">
        <v>45257</v>
      </c>
      <c r="C505" s="1" t="str">
        <f>TEXT(RetailStore[[#This Row],[Date]],"mmm")</f>
        <v>Nov</v>
      </c>
      <c r="D505">
        <v>2023</v>
      </c>
      <c r="E505" t="s">
        <v>518</v>
      </c>
      <c r="F505" t="s">
        <v>18</v>
      </c>
      <c r="G505">
        <v>39</v>
      </c>
      <c r="H505" t="s">
        <v>20</v>
      </c>
      <c r="I505">
        <v>1</v>
      </c>
      <c r="J505">
        <v>30</v>
      </c>
      <c r="K505">
        <v>30</v>
      </c>
      <c r="L5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06" spans="1:12" x14ac:dyDescent="0.3">
      <c r="A506">
        <v>505</v>
      </c>
      <c r="B506" s="1">
        <v>44977</v>
      </c>
      <c r="C506" s="1" t="str">
        <f>TEXT(RetailStore[[#This Row],[Date]],"mmm")</f>
        <v>Feb</v>
      </c>
      <c r="D506">
        <v>2023</v>
      </c>
      <c r="E506" t="s">
        <v>519</v>
      </c>
      <c r="F506" t="s">
        <v>18</v>
      </c>
      <c r="G506">
        <v>32</v>
      </c>
      <c r="H506" t="s">
        <v>12</v>
      </c>
      <c r="I506">
        <v>2</v>
      </c>
      <c r="J506">
        <v>253</v>
      </c>
      <c r="K506">
        <v>506</v>
      </c>
      <c r="L5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07" spans="1:12" x14ac:dyDescent="0.3">
      <c r="A507">
        <v>506</v>
      </c>
      <c r="B507" s="1">
        <v>45118</v>
      </c>
      <c r="C507" s="1" t="str">
        <f>TEXT(RetailStore[[#This Row],[Date]],"mmm")</f>
        <v>Jul</v>
      </c>
      <c r="D507">
        <v>2023</v>
      </c>
      <c r="E507" t="s">
        <v>520</v>
      </c>
      <c r="F507" t="s">
        <v>18</v>
      </c>
      <c r="G507">
        <v>47</v>
      </c>
      <c r="H507" t="s">
        <v>12</v>
      </c>
      <c r="I507">
        <v>2</v>
      </c>
      <c r="J507">
        <v>201</v>
      </c>
      <c r="K507">
        <v>402</v>
      </c>
      <c r="L5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08" spans="1:12" x14ac:dyDescent="0.3">
      <c r="A508">
        <v>507</v>
      </c>
      <c r="B508" s="1">
        <v>44939</v>
      </c>
      <c r="C508" s="1" t="str">
        <f>TEXT(RetailStore[[#This Row],[Date]],"mmm")</f>
        <v>Jan</v>
      </c>
      <c r="D508">
        <v>2023</v>
      </c>
      <c r="E508" t="s">
        <v>521</v>
      </c>
      <c r="F508" t="s">
        <v>18</v>
      </c>
      <c r="G508">
        <v>24</v>
      </c>
      <c r="H508" t="s">
        <v>20</v>
      </c>
      <c r="I508">
        <v>4</v>
      </c>
      <c r="J508">
        <v>496</v>
      </c>
      <c r="K508">
        <v>1984</v>
      </c>
      <c r="L5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09" spans="1:12" x14ac:dyDescent="0.3">
      <c r="A509">
        <v>508</v>
      </c>
      <c r="B509" s="1">
        <v>44970</v>
      </c>
      <c r="C509" s="1" t="str">
        <f>TEXT(RetailStore[[#This Row],[Date]],"mmm")</f>
        <v>Feb</v>
      </c>
      <c r="D509">
        <v>2023</v>
      </c>
      <c r="E509" t="s">
        <v>522</v>
      </c>
      <c r="F509" t="s">
        <v>11</v>
      </c>
      <c r="G509">
        <v>64</v>
      </c>
      <c r="H509" t="s">
        <v>15</v>
      </c>
      <c r="I509">
        <v>3</v>
      </c>
      <c r="J509">
        <v>184</v>
      </c>
      <c r="K509">
        <v>552</v>
      </c>
      <c r="L5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10" spans="1:12" x14ac:dyDescent="0.3">
      <c r="A510">
        <v>509</v>
      </c>
      <c r="B510" s="1">
        <v>45102</v>
      </c>
      <c r="C510" s="1" t="str">
        <f>TEXT(RetailStore[[#This Row],[Date]],"mmm")</f>
        <v>Jun</v>
      </c>
      <c r="D510">
        <v>2023</v>
      </c>
      <c r="E510" t="s">
        <v>523</v>
      </c>
      <c r="F510" t="s">
        <v>18</v>
      </c>
      <c r="G510">
        <v>31</v>
      </c>
      <c r="H510" t="s">
        <v>12</v>
      </c>
      <c r="I510">
        <v>4</v>
      </c>
      <c r="J510">
        <v>203</v>
      </c>
      <c r="K510">
        <v>812</v>
      </c>
      <c r="L5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11" spans="1:12" x14ac:dyDescent="0.3">
      <c r="A511">
        <v>510</v>
      </c>
      <c r="B511" s="1">
        <v>45170</v>
      </c>
      <c r="C511" s="1" t="str">
        <f>TEXT(RetailStore[[#This Row],[Date]],"mmm")</f>
        <v>Sep</v>
      </c>
      <c r="D511">
        <v>2023</v>
      </c>
      <c r="E511" t="s">
        <v>524</v>
      </c>
      <c r="F511" t="s">
        <v>11</v>
      </c>
      <c r="G511">
        <v>46</v>
      </c>
      <c r="H511" t="s">
        <v>12</v>
      </c>
      <c r="I511">
        <v>4</v>
      </c>
      <c r="J511">
        <v>188</v>
      </c>
      <c r="K511">
        <v>752</v>
      </c>
      <c r="L5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12" spans="1:12" x14ac:dyDescent="0.3">
      <c r="A512">
        <v>511</v>
      </c>
      <c r="B512" s="1">
        <v>44961</v>
      </c>
      <c r="C512" s="1" t="str">
        <f>TEXT(RetailStore[[#This Row],[Date]],"mmm")</f>
        <v>Feb</v>
      </c>
      <c r="D512">
        <v>2023</v>
      </c>
      <c r="E512" t="s">
        <v>525</v>
      </c>
      <c r="F512" t="s">
        <v>18</v>
      </c>
      <c r="G512">
        <v>20</v>
      </c>
      <c r="H512" t="s">
        <v>12</v>
      </c>
      <c r="I512">
        <v>1</v>
      </c>
      <c r="J512">
        <v>36</v>
      </c>
      <c r="K512">
        <v>36</v>
      </c>
      <c r="L5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13" spans="1:12" x14ac:dyDescent="0.3">
      <c r="A513">
        <v>512</v>
      </c>
      <c r="B513" s="1">
        <v>45102</v>
      </c>
      <c r="C513" s="1" t="str">
        <f>TEXT(RetailStore[[#This Row],[Date]],"mmm")</f>
        <v>Jun</v>
      </c>
      <c r="D513">
        <v>2023</v>
      </c>
      <c r="E513" t="s">
        <v>526</v>
      </c>
      <c r="F513" t="s">
        <v>11</v>
      </c>
      <c r="G513">
        <v>61</v>
      </c>
      <c r="H513" t="s">
        <v>15</v>
      </c>
      <c r="I513">
        <v>2</v>
      </c>
      <c r="J513">
        <v>289</v>
      </c>
      <c r="K513">
        <v>578</v>
      </c>
      <c r="L5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14" spans="1:12" x14ac:dyDescent="0.3">
      <c r="A514">
        <v>513</v>
      </c>
      <c r="B514" s="1">
        <v>45016</v>
      </c>
      <c r="C514" s="1" t="str">
        <f>TEXT(RetailStore[[#This Row],[Date]],"mmm")</f>
        <v>Mar</v>
      </c>
      <c r="D514">
        <v>2023</v>
      </c>
      <c r="E514" t="s">
        <v>527</v>
      </c>
      <c r="F514" t="s">
        <v>11</v>
      </c>
      <c r="G514">
        <v>39</v>
      </c>
      <c r="H514" t="s">
        <v>12</v>
      </c>
      <c r="I514">
        <v>4</v>
      </c>
      <c r="J514">
        <v>261</v>
      </c>
      <c r="K514">
        <v>1044</v>
      </c>
      <c r="L5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15" spans="1:12" x14ac:dyDescent="0.3">
      <c r="A515">
        <v>514</v>
      </c>
      <c r="B515" s="1">
        <v>45045</v>
      </c>
      <c r="C515" s="1" t="str">
        <f>TEXT(RetailStore[[#This Row],[Date]],"mmm")</f>
        <v>Apr</v>
      </c>
      <c r="D515">
        <v>2023</v>
      </c>
      <c r="E515" t="s">
        <v>528</v>
      </c>
      <c r="F515" t="s">
        <v>18</v>
      </c>
      <c r="G515">
        <v>58</v>
      </c>
      <c r="H515" t="s">
        <v>15</v>
      </c>
      <c r="I515">
        <v>2</v>
      </c>
      <c r="J515">
        <v>352</v>
      </c>
      <c r="K515">
        <v>704</v>
      </c>
      <c r="L5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16" spans="1:12" x14ac:dyDescent="0.3">
      <c r="A516">
        <v>515</v>
      </c>
      <c r="B516" s="1">
        <v>45263</v>
      </c>
      <c r="C516" s="1" t="str">
        <f>TEXT(RetailStore[[#This Row],[Date]],"mmm")</f>
        <v>Dec</v>
      </c>
      <c r="D516">
        <v>2023</v>
      </c>
      <c r="E516" t="s">
        <v>529</v>
      </c>
      <c r="F516" t="s">
        <v>18</v>
      </c>
      <c r="G516">
        <v>43</v>
      </c>
      <c r="H516" t="s">
        <v>15</v>
      </c>
      <c r="I516">
        <v>2</v>
      </c>
      <c r="J516">
        <v>255</v>
      </c>
      <c r="K516">
        <v>510</v>
      </c>
      <c r="L5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17" spans="1:12" x14ac:dyDescent="0.3">
      <c r="A517">
        <v>516</v>
      </c>
      <c r="B517" s="1">
        <v>45230</v>
      </c>
      <c r="C517" s="1" t="str">
        <f>TEXT(RetailStore[[#This Row],[Date]],"mmm")</f>
        <v>Oct</v>
      </c>
      <c r="D517">
        <v>2023</v>
      </c>
      <c r="E517" t="s">
        <v>530</v>
      </c>
      <c r="F517" t="s">
        <v>18</v>
      </c>
      <c r="G517">
        <v>42</v>
      </c>
      <c r="H517" t="s">
        <v>15</v>
      </c>
      <c r="I517">
        <v>2</v>
      </c>
      <c r="J517">
        <v>130</v>
      </c>
      <c r="K517">
        <v>260</v>
      </c>
      <c r="L5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18" spans="1:12" x14ac:dyDescent="0.3">
      <c r="A518">
        <v>517</v>
      </c>
      <c r="B518" s="1">
        <v>45069</v>
      </c>
      <c r="C518" s="1" t="str">
        <f>TEXT(RetailStore[[#This Row],[Date]],"mmm")</f>
        <v>May</v>
      </c>
      <c r="D518">
        <v>2023</v>
      </c>
      <c r="E518" t="s">
        <v>531</v>
      </c>
      <c r="F518" t="s">
        <v>11</v>
      </c>
      <c r="G518">
        <v>54</v>
      </c>
      <c r="H518" t="s">
        <v>15</v>
      </c>
      <c r="I518">
        <v>2</v>
      </c>
      <c r="J518">
        <v>212</v>
      </c>
      <c r="K518">
        <v>424</v>
      </c>
      <c r="L5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19" spans="1:12" x14ac:dyDescent="0.3">
      <c r="A519">
        <v>518</v>
      </c>
      <c r="B519" s="1">
        <v>45093</v>
      </c>
      <c r="C519" s="1" t="str">
        <f>TEXT(RetailStore[[#This Row],[Date]],"mmm")</f>
        <v>Jun</v>
      </c>
      <c r="D519">
        <v>2023</v>
      </c>
      <c r="E519" t="s">
        <v>532</v>
      </c>
      <c r="F519" t="s">
        <v>11</v>
      </c>
      <c r="G519">
        <v>47</v>
      </c>
      <c r="H519" t="s">
        <v>15</v>
      </c>
      <c r="I519">
        <v>3</v>
      </c>
      <c r="J519">
        <v>368</v>
      </c>
      <c r="K519">
        <v>1104</v>
      </c>
      <c r="L5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20" spans="1:12" x14ac:dyDescent="0.3">
      <c r="A520">
        <v>519</v>
      </c>
      <c r="B520" s="1">
        <v>45177</v>
      </c>
      <c r="C520" s="1" t="str">
        <f>TEXT(RetailStore[[#This Row],[Date]],"mmm")</f>
        <v>Sep</v>
      </c>
      <c r="D520">
        <v>2023</v>
      </c>
      <c r="E520" t="s">
        <v>533</v>
      </c>
      <c r="F520" t="s">
        <v>18</v>
      </c>
      <c r="G520">
        <v>56</v>
      </c>
      <c r="H520" t="s">
        <v>20</v>
      </c>
      <c r="I520">
        <v>4</v>
      </c>
      <c r="J520">
        <v>325</v>
      </c>
      <c r="K520">
        <v>1300</v>
      </c>
      <c r="L5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21" spans="1:12" x14ac:dyDescent="0.3">
      <c r="A521">
        <v>520</v>
      </c>
      <c r="B521" s="1">
        <v>44985</v>
      </c>
      <c r="C521" s="1" t="str">
        <f>TEXT(RetailStore[[#This Row],[Date]],"mmm")</f>
        <v>Feb</v>
      </c>
      <c r="D521">
        <v>2023</v>
      </c>
      <c r="E521" t="s">
        <v>534</v>
      </c>
      <c r="F521" t="s">
        <v>18</v>
      </c>
      <c r="G521">
        <v>40</v>
      </c>
      <c r="H521" t="s">
        <v>20</v>
      </c>
      <c r="I521">
        <v>2</v>
      </c>
      <c r="J521">
        <v>441</v>
      </c>
      <c r="K521">
        <v>882</v>
      </c>
      <c r="L5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22" spans="1:12" x14ac:dyDescent="0.3">
      <c r="A522">
        <v>521</v>
      </c>
      <c r="B522" s="1">
        <v>45271</v>
      </c>
      <c r="C522" s="1" t="str">
        <f>TEXT(RetailStore[[#This Row],[Date]],"mmm")</f>
        <v>Dec</v>
      </c>
      <c r="D522">
        <v>2023</v>
      </c>
      <c r="E522" t="s">
        <v>535</v>
      </c>
      <c r="F522" t="s">
        <v>18</v>
      </c>
      <c r="G522">
        <v>57</v>
      </c>
      <c r="H522" t="s">
        <v>12</v>
      </c>
      <c r="I522">
        <v>1</v>
      </c>
      <c r="J522">
        <v>369</v>
      </c>
      <c r="K522">
        <v>369</v>
      </c>
      <c r="L5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23" spans="1:12" x14ac:dyDescent="0.3">
      <c r="A523">
        <v>522</v>
      </c>
      <c r="B523" s="1">
        <v>44995</v>
      </c>
      <c r="C523" s="1" t="str">
        <f>TEXT(RetailStore[[#This Row],[Date]],"mmm")</f>
        <v>Mar</v>
      </c>
      <c r="D523">
        <v>2023</v>
      </c>
      <c r="E523" t="s">
        <v>536</v>
      </c>
      <c r="F523" t="s">
        <v>18</v>
      </c>
      <c r="G523">
        <v>25</v>
      </c>
      <c r="H523" t="s">
        <v>15</v>
      </c>
      <c r="I523">
        <v>3</v>
      </c>
      <c r="J523">
        <v>84</v>
      </c>
      <c r="K523">
        <v>252</v>
      </c>
      <c r="L5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24" spans="1:12" x14ac:dyDescent="0.3">
      <c r="A524">
        <v>523</v>
      </c>
      <c r="B524" s="1">
        <v>45020</v>
      </c>
      <c r="C524" s="1" t="str">
        <f>TEXT(RetailStore[[#This Row],[Date]],"mmm")</f>
        <v>Apr</v>
      </c>
      <c r="D524">
        <v>2023</v>
      </c>
      <c r="E524" t="s">
        <v>537</v>
      </c>
      <c r="F524" t="s">
        <v>18</v>
      </c>
      <c r="G524">
        <v>62</v>
      </c>
      <c r="H524" t="s">
        <v>15</v>
      </c>
      <c r="I524">
        <v>4</v>
      </c>
      <c r="J524">
        <v>239</v>
      </c>
      <c r="K524">
        <v>956</v>
      </c>
      <c r="L5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25" spans="1:12" x14ac:dyDescent="0.3">
      <c r="A525">
        <v>524</v>
      </c>
      <c r="B525" s="1">
        <v>45232</v>
      </c>
      <c r="C525" s="1" t="str">
        <f>TEXT(RetailStore[[#This Row],[Date]],"mmm")</f>
        <v>Nov</v>
      </c>
      <c r="D525">
        <v>2023</v>
      </c>
      <c r="E525" t="s">
        <v>538</v>
      </c>
      <c r="F525" t="s">
        <v>11</v>
      </c>
      <c r="G525">
        <v>54</v>
      </c>
      <c r="H525" t="s">
        <v>20</v>
      </c>
      <c r="I525">
        <v>4</v>
      </c>
      <c r="J525">
        <v>120</v>
      </c>
      <c r="K525">
        <v>480</v>
      </c>
      <c r="L5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26" spans="1:12" x14ac:dyDescent="0.3">
      <c r="A526">
        <v>525</v>
      </c>
      <c r="B526" s="1">
        <v>45176</v>
      </c>
      <c r="C526" s="1" t="str">
        <f>TEXT(RetailStore[[#This Row],[Date]],"mmm")</f>
        <v>Sep</v>
      </c>
      <c r="D526">
        <v>2023</v>
      </c>
      <c r="E526" t="s">
        <v>539</v>
      </c>
      <c r="F526" t="s">
        <v>11</v>
      </c>
      <c r="G526">
        <v>53</v>
      </c>
      <c r="H526" t="s">
        <v>15</v>
      </c>
      <c r="I526">
        <v>4</v>
      </c>
      <c r="J526">
        <v>172</v>
      </c>
      <c r="K526">
        <v>688</v>
      </c>
      <c r="L5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27" spans="1:12" x14ac:dyDescent="0.3">
      <c r="A527">
        <v>526</v>
      </c>
      <c r="B527" s="1">
        <v>44998</v>
      </c>
      <c r="C527" s="1" t="str">
        <f>TEXT(RetailStore[[#This Row],[Date]],"mmm")</f>
        <v>Mar</v>
      </c>
      <c r="D527">
        <v>2023</v>
      </c>
      <c r="E527" t="s">
        <v>540</v>
      </c>
      <c r="F527" t="s">
        <v>11</v>
      </c>
      <c r="G527">
        <v>38</v>
      </c>
      <c r="H527" t="s">
        <v>20</v>
      </c>
      <c r="I527">
        <v>1</v>
      </c>
      <c r="J527">
        <v>468</v>
      </c>
      <c r="K527">
        <v>468</v>
      </c>
      <c r="L5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28" spans="1:12" x14ac:dyDescent="0.3">
      <c r="A528">
        <v>527</v>
      </c>
      <c r="B528" s="1">
        <v>45110</v>
      </c>
      <c r="C528" s="1" t="str">
        <f>TEXT(RetailStore[[#This Row],[Date]],"mmm")</f>
        <v>Jul</v>
      </c>
      <c r="D528">
        <v>2023</v>
      </c>
      <c r="E528" t="s">
        <v>541</v>
      </c>
      <c r="F528" t="s">
        <v>11</v>
      </c>
      <c r="G528">
        <v>49</v>
      </c>
      <c r="H528" t="s">
        <v>15</v>
      </c>
      <c r="I528">
        <v>2</v>
      </c>
      <c r="J528">
        <v>442</v>
      </c>
      <c r="K528">
        <v>884</v>
      </c>
      <c r="L5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29" spans="1:12" x14ac:dyDescent="0.3">
      <c r="A529">
        <v>528</v>
      </c>
      <c r="B529" s="1">
        <v>45123</v>
      </c>
      <c r="C529" s="1" t="str">
        <f>TEXT(RetailStore[[#This Row],[Date]],"mmm")</f>
        <v>Jul</v>
      </c>
      <c r="D529">
        <v>2023</v>
      </c>
      <c r="E529" t="s">
        <v>542</v>
      </c>
      <c r="F529" t="s">
        <v>18</v>
      </c>
      <c r="G529">
        <v>44</v>
      </c>
      <c r="H529" t="s">
        <v>12</v>
      </c>
      <c r="I529">
        <v>4</v>
      </c>
      <c r="J529">
        <v>237</v>
      </c>
      <c r="K529">
        <v>948</v>
      </c>
      <c r="L5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30" spans="1:12" x14ac:dyDescent="0.3">
      <c r="A530">
        <v>529</v>
      </c>
      <c r="B530" s="1">
        <v>45290</v>
      </c>
      <c r="C530" s="1" t="str">
        <f>TEXT(RetailStore[[#This Row],[Date]],"mmm")</f>
        <v>Dec</v>
      </c>
      <c r="D530">
        <v>2023</v>
      </c>
      <c r="E530" t="s">
        <v>543</v>
      </c>
      <c r="F530" t="s">
        <v>18</v>
      </c>
      <c r="G530">
        <v>49</v>
      </c>
      <c r="H530" t="s">
        <v>15</v>
      </c>
      <c r="I530">
        <v>1</v>
      </c>
      <c r="J530">
        <v>314</v>
      </c>
      <c r="K530">
        <v>314</v>
      </c>
      <c r="L5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31" spans="1:12" x14ac:dyDescent="0.3">
      <c r="A531">
        <v>530</v>
      </c>
      <c r="B531" s="1">
        <v>44942</v>
      </c>
      <c r="C531" s="1" t="str">
        <f>TEXT(RetailStore[[#This Row],[Date]],"mmm")</f>
        <v>Jan</v>
      </c>
      <c r="D531">
        <v>2023</v>
      </c>
      <c r="E531" t="s">
        <v>544</v>
      </c>
      <c r="F531" t="s">
        <v>11</v>
      </c>
      <c r="G531">
        <v>36</v>
      </c>
      <c r="H531" t="s">
        <v>15</v>
      </c>
      <c r="I531">
        <v>3</v>
      </c>
      <c r="J531">
        <v>140</v>
      </c>
      <c r="K531">
        <v>420</v>
      </c>
      <c r="L5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32" spans="1:12" x14ac:dyDescent="0.3">
      <c r="A532">
        <v>531</v>
      </c>
      <c r="B532" s="1">
        <v>45202</v>
      </c>
      <c r="C532" s="1" t="str">
        <f>TEXT(RetailStore[[#This Row],[Date]],"mmm")</f>
        <v>Oct</v>
      </c>
      <c r="D532">
        <v>2023</v>
      </c>
      <c r="E532" t="s">
        <v>545</v>
      </c>
      <c r="F532" t="s">
        <v>18</v>
      </c>
      <c r="G532">
        <v>28</v>
      </c>
      <c r="H532" t="s">
        <v>20</v>
      </c>
      <c r="I532">
        <v>4</v>
      </c>
      <c r="J532">
        <v>306</v>
      </c>
      <c r="K532">
        <v>1224</v>
      </c>
      <c r="L5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33" spans="1:12" x14ac:dyDescent="0.3">
      <c r="A533">
        <v>532</v>
      </c>
      <c r="B533" s="1">
        <v>45188</v>
      </c>
      <c r="C533" s="1" t="str">
        <f>TEXT(RetailStore[[#This Row],[Date]],"mmm")</f>
        <v>Sep</v>
      </c>
      <c r="D533">
        <v>2023</v>
      </c>
      <c r="E533" t="s">
        <v>546</v>
      </c>
      <c r="F533" t="s">
        <v>11</v>
      </c>
      <c r="G533">
        <v>54</v>
      </c>
      <c r="H533" t="s">
        <v>15</v>
      </c>
      <c r="I533">
        <v>3</v>
      </c>
      <c r="J533">
        <v>421</v>
      </c>
      <c r="K533">
        <v>1263</v>
      </c>
      <c r="L5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34" spans="1:12" x14ac:dyDescent="0.3">
      <c r="A534">
        <v>533</v>
      </c>
      <c r="B534" s="1">
        <v>45205</v>
      </c>
      <c r="C534" s="1" t="str">
        <f>TEXT(RetailStore[[#This Row],[Date]],"mmm")</f>
        <v>Oct</v>
      </c>
      <c r="D534">
        <v>2023</v>
      </c>
      <c r="E534" t="s">
        <v>547</v>
      </c>
      <c r="F534" t="s">
        <v>18</v>
      </c>
      <c r="G534">
        <v>52</v>
      </c>
      <c r="H534" t="s">
        <v>15</v>
      </c>
      <c r="I534">
        <v>4</v>
      </c>
      <c r="J534">
        <v>304</v>
      </c>
      <c r="K534">
        <v>1216</v>
      </c>
      <c r="L5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35" spans="1:12" x14ac:dyDescent="0.3">
      <c r="A535">
        <v>534</v>
      </c>
      <c r="B535" s="1">
        <v>45038</v>
      </c>
      <c r="C535" s="1" t="str">
        <f>TEXT(RetailStore[[#This Row],[Date]],"mmm")</f>
        <v>Apr</v>
      </c>
      <c r="D535">
        <v>2023</v>
      </c>
      <c r="E535" t="s">
        <v>548</v>
      </c>
      <c r="F535" t="s">
        <v>18</v>
      </c>
      <c r="G535">
        <v>24</v>
      </c>
      <c r="H535" t="s">
        <v>12</v>
      </c>
      <c r="I535">
        <v>2</v>
      </c>
      <c r="J535">
        <v>177</v>
      </c>
      <c r="K535">
        <v>354</v>
      </c>
      <c r="L5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36" spans="1:12" x14ac:dyDescent="0.3">
      <c r="A536">
        <v>535</v>
      </c>
      <c r="B536" s="1">
        <v>44943</v>
      </c>
      <c r="C536" s="1" t="str">
        <f>TEXT(RetailStore[[#This Row],[Date]],"mmm")</f>
        <v>Jan</v>
      </c>
      <c r="D536">
        <v>2023</v>
      </c>
      <c r="E536" t="s">
        <v>549</v>
      </c>
      <c r="F536" t="s">
        <v>18</v>
      </c>
      <c r="G536">
        <v>34</v>
      </c>
      <c r="H536" t="s">
        <v>20</v>
      </c>
      <c r="I536">
        <v>1</v>
      </c>
      <c r="J536">
        <v>249</v>
      </c>
      <c r="K536">
        <v>249</v>
      </c>
      <c r="L5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37" spans="1:12" x14ac:dyDescent="0.3">
      <c r="A537">
        <v>536</v>
      </c>
      <c r="B537" s="1">
        <v>44987</v>
      </c>
      <c r="C537" s="1" t="str">
        <f>TEXT(RetailStore[[#This Row],[Date]],"mmm")</f>
        <v>Mar</v>
      </c>
      <c r="D537">
        <v>2023</v>
      </c>
      <c r="E537" t="s">
        <v>550</v>
      </c>
      <c r="F537" t="s">
        <v>11</v>
      </c>
      <c r="G537">
        <v>31</v>
      </c>
      <c r="H537" t="s">
        <v>12</v>
      </c>
      <c r="I537">
        <v>3</v>
      </c>
      <c r="J537">
        <v>465</v>
      </c>
      <c r="K537">
        <v>1395</v>
      </c>
      <c r="L5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38" spans="1:12" x14ac:dyDescent="0.3">
      <c r="A538">
        <v>537</v>
      </c>
      <c r="B538" s="1">
        <v>45290</v>
      </c>
      <c r="C538" s="1" t="str">
        <f>TEXT(RetailStore[[#This Row],[Date]],"mmm")</f>
        <v>Dec</v>
      </c>
      <c r="D538">
        <v>2023</v>
      </c>
      <c r="E538" t="s">
        <v>551</v>
      </c>
      <c r="F538" t="s">
        <v>18</v>
      </c>
      <c r="G538">
        <v>28</v>
      </c>
      <c r="H538" t="s">
        <v>12</v>
      </c>
      <c r="I538">
        <v>2</v>
      </c>
      <c r="J538">
        <v>426</v>
      </c>
      <c r="K538">
        <v>852</v>
      </c>
      <c r="L5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39" spans="1:12" x14ac:dyDescent="0.3">
      <c r="A539">
        <v>538</v>
      </c>
      <c r="B539" s="1">
        <v>45032</v>
      </c>
      <c r="C539" s="1" t="str">
        <f>TEXT(RetailStore[[#This Row],[Date]],"mmm")</f>
        <v>Apr</v>
      </c>
      <c r="D539">
        <v>2023</v>
      </c>
      <c r="E539" t="s">
        <v>552</v>
      </c>
      <c r="F539" t="s">
        <v>11</v>
      </c>
      <c r="G539">
        <v>21</v>
      </c>
      <c r="H539" t="s">
        <v>12</v>
      </c>
      <c r="I539">
        <v>3</v>
      </c>
      <c r="J539">
        <v>297</v>
      </c>
      <c r="K539">
        <v>891</v>
      </c>
      <c r="L5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40" spans="1:12" x14ac:dyDescent="0.3">
      <c r="A540">
        <v>539</v>
      </c>
      <c r="B540" s="1">
        <v>45070</v>
      </c>
      <c r="C540" s="1" t="str">
        <f>TEXT(RetailStore[[#This Row],[Date]],"mmm")</f>
        <v>May</v>
      </c>
      <c r="D540">
        <v>2023</v>
      </c>
      <c r="E540" t="s">
        <v>553</v>
      </c>
      <c r="F540" t="s">
        <v>11</v>
      </c>
      <c r="G540">
        <v>38</v>
      </c>
      <c r="H540" t="s">
        <v>12</v>
      </c>
      <c r="I540">
        <v>3</v>
      </c>
      <c r="J540">
        <v>173</v>
      </c>
      <c r="K540">
        <v>519</v>
      </c>
      <c r="L5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41" spans="1:12" x14ac:dyDescent="0.3">
      <c r="A541">
        <v>540</v>
      </c>
      <c r="B541" s="1">
        <v>45220</v>
      </c>
      <c r="C541" s="1" t="str">
        <f>TEXT(RetailStore[[#This Row],[Date]],"mmm")</f>
        <v>Oct</v>
      </c>
      <c r="D541">
        <v>2023</v>
      </c>
      <c r="E541" t="s">
        <v>554</v>
      </c>
      <c r="F541" t="s">
        <v>18</v>
      </c>
      <c r="G541">
        <v>50</v>
      </c>
      <c r="H541" t="s">
        <v>12</v>
      </c>
      <c r="I541">
        <v>1</v>
      </c>
      <c r="J541">
        <v>94</v>
      </c>
      <c r="K541">
        <v>94</v>
      </c>
      <c r="L5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42" spans="1:12" x14ac:dyDescent="0.3">
      <c r="A542">
        <v>541</v>
      </c>
      <c r="B542" s="1">
        <v>45137</v>
      </c>
      <c r="C542" s="1" t="str">
        <f>TEXT(RetailStore[[#This Row],[Date]],"mmm")</f>
        <v>Jul</v>
      </c>
      <c r="D542">
        <v>2023</v>
      </c>
      <c r="E542" t="s">
        <v>555</v>
      </c>
      <c r="F542" t="s">
        <v>11</v>
      </c>
      <c r="G542">
        <v>35</v>
      </c>
      <c r="H542" t="s">
        <v>12</v>
      </c>
      <c r="I542">
        <v>2</v>
      </c>
      <c r="J542">
        <v>384</v>
      </c>
      <c r="K542">
        <v>768</v>
      </c>
      <c r="L5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43" spans="1:12" x14ac:dyDescent="0.3">
      <c r="A543">
        <v>542</v>
      </c>
      <c r="B543" s="1">
        <v>44994</v>
      </c>
      <c r="C543" s="1" t="str">
        <f>TEXT(RetailStore[[#This Row],[Date]],"mmm")</f>
        <v>Mar</v>
      </c>
      <c r="D543">
        <v>2023</v>
      </c>
      <c r="E543" t="s">
        <v>556</v>
      </c>
      <c r="F543" t="s">
        <v>11</v>
      </c>
      <c r="G543">
        <v>27</v>
      </c>
      <c r="H543" t="s">
        <v>12</v>
      </c>
      <c r="I543">
        <v>3</v>
      </c>
      <c r="J543">
        <v>449</v>
      </c>
      <c r="K543">
        <v>1347</v>
      </c>
      <c r="L5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44" spans="1:12" x14ac:dyDescent="0.3">
      <c r="A544">
        <v>543</v>
      </c>
      <c r="B544" s="1">
        <v>45053</v>
      </c>
      <c r="C544" s="1" t="str">
        <f>TEXT(RetailStore[[#This Row],[Date]],"mmm")</f>
        <v>May</v>
      </c>
      <c r="D544">
        <v>2023</v>
      </c>
      <c r="E544" t="s">
        <v>557</v>
      </c>
      <c r="F544" t="s">
        <v>18</v>
      </c>
      <c r="G544">
        <v>49</v>
      </c>
      <c r="H544" t="s">
        <v>15</v>
      </c>
      <c r="I544">
        <v>3</v>
      </c>
      <c r="J544">
        <v>346</v>
      </c>
      <c r="K544">
        <v>1038</v>
      </c>
      <c r="L5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45" spans="1:12" x14ac:dyDescent="0.3">
      <c r="A545">
        <v>544</v>
      </c>
      <c r="B545" s="1">
        <v>45139</v>
      </c>
      <c r="C545" s="1" t="str">
        <f>TEXT(RetailStore[[#This Row],[Date]],"mmm")</f>
        <v>Aug</v>
      </c>
      <c r="D545">
        <v>2023</v>
      </c>
      <c r="E545" t="s">
        <v>558</v>
      </c>
      <c r="F545" t="s">
        <v>18</v>
      </c>
      <c r="G545">
        <v>46</v>
      </c>
      <c r="H545" t="s">
        <v>15</v>
      </c>
      <c r="I545">
        <v>1</v>
      </c>
      <c r="J545">
        <v>231</v>
      </c>
      <c r="K545">
        <v>231</v>
      </c>
      <c r="L5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46" spans="1:12" x14ac:dyDescent="0.3">
      <c r="A546">
        <v>545</v>
      </c>
      <c r="B546" s="1">
        <v>45190</v>
      </c>
      <c r="C546" s="1" t="str">
        <f>TEXT(RetailStore[[#This Row],[Date]],"mmm")</f>
        <v>Sep</v>
      </c>
      <c r="D546">
        <v>2023</v>
      </c>
      <c r="E546" t="s">
        <v>559</v>
      </c>
      <c r="F546" t="s">
        <v>18</v>
      </c>
      <c r="G546">
        <v>62</v>
      </c>
      <c r="H546" t="s">
        <v>20</v>
      </c>
      <c r="I546">
        <v>4</v>
      </c>
      <c r="J546">
        <v>274</v>
      </c>
      <c r="K546">
        <v>1096</v>
      </c>
      <c r="L5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47" spans="1:12" x14ac:dyDescent="0.3">
      <c r="A547">
        <v>546</v>
      </c>
      <c r="B547" s="1">
        <v>45094</v>
      </c>
      <c r="C547" s="1" t="str">
        <f>TEXT(RetailStore[[#This Row],[Date]],"mmm")</f>
        <v>Jun</v>
      </c>
      <c r="D547">
        <v>2023</v>
      </c>
      <c r="E547" t="s">
        <v>560</v>
      </c>
      <c r="F547" t="s">
        <v>11</v>
      </c>
      <c r="G547">
        <v>64</v>
      </c>
      <c r="H547" t="s">
        <v>15</v>
      </c>
      <c r="I547">
        <v>4</v>
      </c>
      <c r="J547">
        <v>350</v>
      </c>
      <c r="K547">
        <v>1400</v>
      </c>
      <c r="L5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48" spans="1:12" x14ac:dyDescent="0.3">
      <c r="A548">
        <v>547</v>
      </c>
      <c r="B548" s="1">
        <v>45267</v>
      </c>
      <c r="C548" s="1" t="str">
        <f>TEXT(RetailStore[[#This Row],[Date]],"mmm")</f>
        <v>Dec</v>
      </c>
      <c r="D548">
        <v>2023</v>
      </c>
      <c r="E548" t="s">
        <v>561</v>
      </c>
      <c r="F548" t="s">
        <v>18</v>
      </c>
      <c r="G548">
        <v>22</v>
      </c>
      <c r="H548" t="s">
        <v>12</v>
      </c>
      <c r="I548">
        <v>4</v>
      </c>
      <c r="J548">
        <v>136</v>
      </c>
      <c r="K548">
        <v>544</v>
      </c>
      <c r="L5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49" spans="1:12" x14ac:dyDescent="0.3">
      <c r="A549">
        <v>548</v>
      </c>
      <c r="B549" s="1">
        <v>45146</v>
      </c>
      <c r="C549" s="1" t="str">
        <f>TEXT(RetailStore[[#This Row],[Date]],"mmm")</f>
        <v>Aug</v>
      </c>
      <c r="D549">
        <v>2023</v>
      </c>
      <c r="E549" t="s">
        <v>562</v>
      </c>
      <c r="F549" t="s">
        <v>11</v>
      </c>
      <c r="G549">
        <v>49</v>
      </c>
      <c r="H549" t="s">
        <v>20</v>
      </c>
      <c r="I549">
        <v>3</v>
      </c>
      <c r="J549">
        <v>449</v>
      </c>
      <c r="K549">
        <v>1347</v>
      </c>
      <c r="L5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50" spans="1:12" x14ac:dyDescent="0.3">
      <c r="A550">
        <v>549</v>
      </c>
      <c r="B550" s="1">
        <v>45072</v>
      </c>
      <c r="C550" s="1" t="str">
        <f>TEXT(RetailStore[[#This Row],[Date]],"mmm")</f>
        <v>May</v>
      </c>
      <c r="D550">
        <v>2023</v>
      </c>
      <c r="E550" t="s">
        <v>563</v>
      </c>
      <c r="F550" t="s">
        <v>18</v>
      </c>
      <c r="G550">
        <v>53</v>
      </c>
      <c r="H550" t="s">
        <v>12</v>
      </c>
      <c r="I550">
        <v>2</v>
      </c>
      <c r="J550">
        <v>314</v>
      </c>
      <c r="K550">
        <v>628</v>
      </c>
      <c r="L5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51" spans="1:12" x14ac:dyDescent="0.3">
      <c r="A551">
        <v>550</v>
      </c>
      <c r="B551" s="1">
        <v>45175</v>
      </c>
      <c r="C551" s="1" t="str">
        <f>TEXT(RetailStore[[#This Row],[Date]],"mmm")</f>
        <v>Sep</v>
      </c>
      <c r="D551">
        <v>2023</v>
      </c>
      <c r="E551" t="s">
        <v>564</v>
      </c>
      <c r="F551" t="s">
        <v>18</v>
      </c>
      <c r="G551">
        <v>61</v>
      </c>
      <c r="H551" t="s">
        <v>15</v>
      </c>
      <c r="I551">
        <v>1</v>
      </c>
      <c r="J551">
        <v>75</v>
      </c>
      <c r="K551">
        <v>75</v>
      </c>
      <c r="L5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52" spans="1:12" x14ac:dyDescent="0.3">
      <c r="A552">
        <v>551</v>
      </c>
      <c r="B552" s="1">
        <v>45247</v>
      </c>
      <c r="C552" s="1" t="str">
        <f>TEXT(RetailStore[[#This Row],[Date]],"mmm")</f>
        <v>Nov</v>
      </c>
      <c r="D552">
        <v>2023</v>
      </c>
      <c r="E552" t="s">
        <v>565</v>
      </c>
      <c r="F552" t="s">
        <v>18</v>
      </c>
      <c r="G552">
        <v>19</v>
      </c>
      <c r="H552" t="s">
        <v>15</v>
      </c>
      <c r="I552">
        <v>2</v>
      </c>
      <c r="J552">
        <v>250</v>
      </c>
      <c r="K552">
        <v>500</v>
      </c>
      <c r="L5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53" spans="1:12" x14ac:dyDescent="0.3">
      <c r="A553">
        <v>552</v>
      </c>
      <c r="B553" s="1">
        <v>45160</v>
      </c>
      <c r="C553" s="1" t="str">
        <f>TEXT(RetailStore[[#This Row],[Date]],"mmm")</f>
        <v>Aug</v>
      </c>
      <c r="D553">
        <v>2023</v>
      </c>
      <c r="E553" t="s">
        <v>566</v>
      </c>
      <c r="F553" t="s">
        <v>11</v>
      </c>
      <c r="G553">
        <v>45</v>
      </c>
      <c r="H553" t="s">
        <v>15</v>
      </c>
      <c r="I553">
        <v>2</v>
      </c>
      <c r="J553">
        <v>476</v>
      </c>
      <c r="K553">
        <v>952</v>
      </c>
      <c r="L5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54" spans="1:12" x14ac:dyDescent="0.3">
      <c r="A554">
        <v>553</v>
      </c>
      <c r="B554" s="1">
        <v>45259</v>
      </c>
      <c r="C554" s="1" t="str">
        <f>TEXT(RetailStore[[#This Row],[Date]],"mmm")</f>
        <v>Nov</v>
      </c>
      <c r="D554">
        <v>2023</v>
      </c>
      <c r="E554" t="s">
        <v>567</v>
      </c>
      <c r="F554" t="s">
        <v>18</v>
      </c>
      <c r="G554">
        <v>28</v>
      </c>
      <c r="H554" t="s">
        <v>20</v>
      </c>
      <c r="I554">
        <v>1</v>
      </c>
      <c r="J554">
        <v>360</v>
      </c>
      <c r="K554">
        <v>360</v>
      </c>
      <c r="L5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55" spans="1:12" x14ac:dyDescent="0.3">
      <c r="A555">
        <v>554</v>
      </c>
      <c r="B555" s="1">
        <v>45111</v>
      </c>
      <c r="C555" s="1" t="str">
        <f>TEXT(RetailStore[[#This Row],[Date]],"mmm")</f>
        <v>Jul</v>
      </c>
      <c r="D555">
        <v>2023</v>
      </c>
      <c r="E555" t="s">
        <v>568</v>
      </c>
      <c r="F555" t="s">
        <v>18</v>
      </c>
      <c r="G555">
        <v>23</v>
      </c>
      <c r="H555" t="s">
        <v>20</v>
      </c>
      <c r="I555">
        <v>2</v>
      </c>
      <c r="J555">
        <v>51</v>
      </c>
      <c r="K555">
        <v>102</v>
      </c>
      <c r="L5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56" spans="1:12" x14ac:dyDescent="0.3">
      <c r="A556">
        <v>555</v>
      </c>
      <c r="B556" s="1">
        <v>45129</v>
      </c>
      <c r="C556" s="1" t="str">
        <f>TEXT(RetailStore[[#This Row],[Date]],"mmm")</f>
        <v>Jul</v>
      </c>
      <c r="D556">
        <v>2023</v>
      </c>
      <c r="E556" t="s">
        <v>569</v>
      </c>
      <c r="F556" t="s">
        <v>18</v>
      </c>
      <c r="G556">
        <v>64</v>
      </c>
      <c r="H556" t="s">
        <v>12</v>
      </c>
      <c r="I556">
        <v>2</v>
      </c>
      <c r="J556">
        <v>244</v>
      </c>
      <c r="K556">
        <v>488</v>
      </c>
      <c r="L5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57" spans="1:12" x14ac:dyDescent="0.3">
      <c r="A557">
        <v>556</v>
      </c>
      <c r="B557" s="1">
        <v>45262</v>
      </c>
      <c r="C557" s="1" t="str">
        <f>TEXT(RetailStore[[#This Row],[Date]],"mmm")</f>
        <v>Dec</v>
      </c>
      <c r="D557">
        <v>2023</v>
      </c>
      <c r="E557" t="s">
        <v>570</v>
      </c>
      <c r="F557" t="s">
        <v>11</v>
      </c>
      <c r="G557">
        <v>63</v>
      </c>
      <c r="H557" t="s">
        <v>15</v>
      </c>
      <c r="I557">
        <v>1</v>
      </c>
      <c r="J557">
        <v>134</v>
      </c>
      <c r="K557">
        <v>134</v>
      </c>
      <c r="L5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58" spans="1:12" x14ac:dyDescent="0.3">
      <c r="A558">
        <v>557</v>
      </c>
      <c r="B558" s="1">
        <v>45171</v>
      </c>
      <c r="C558" s="1" t="str">
        <f>TEXT(RetailStore[[#This Row],[Date]],"mmm")</f>
        <v>Sep</v>
      </c>
      <c r="D558">
        <v>2023</v>
      </c>
      <c r="E558" t="s">
        <v>571</v>
      </c>
      <c r="F558" t="s">
        <v>11</v>
      </c>
      <c r="G558">
        <v>26</v>
      </c>
      <c r="H558" t="s">
        <v>12</v>
      </c>
      <c r="I558">
        <v>2</v>
      </c>
      <c r="J558">
        <v>290</v>
      </c>
      <c r="K558">
        <v>580</v>
      </c>
      <c r="L5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59" spans="1:12" x14ac:dyDescent="0.3">
      <c r="A559">
        <v>558</v>
      </c>
      <c r="B559" s="1">
        <v>45275</v>
      </c>
      <c r="C559" s="1" t="str">
        <f>TEXT(RetailStore[[#This Row],[Date]],"mmm")</f>
        <v>Dec</v>
      </c>
      <c r="D559">
        <v>2023</v>
      </c>
      <c r="E559" t="s">
        <v>572</v>
      </c>
      <c r="F559" t="s">
        <v>18</v>
      </c>
      <c r="G559">
        <v>18</v>
      </c>
      <c r="H559" t="s">
        <v>15</v>
      </c>
      <c r="I559">
        <v>3</v>
      </c>
      <c r="J559">
        <v>443</v>
      </c>
      <c r="K559">
        <v>1329</v>
      </c>
      <c r="L5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60" spans="1:12" x14ac:dyDescent="0.3">
      <c r="A560">
        <v>559</v>
      </c>
      <c r="B560" s="1">
        <v>44988</v>
      </c>
      <c r="C560" s="1" t="str">
        <f>TEXT(RetailStore[[#This Row],[Date]],"mmm")</f>
        <v>Mar</v>
      </c>
      <c r="D560">
        <v>2023</v>
      </c>
      <c r="E560" t="s">
        <v>573</v>
      </c>
      <c r="F560" t="s">
        <v>18</v>
      </c>
      <c r="G560">
        <v>62</v>
      </c>
      <c r="H560" t="s">
        <v>15</v>
      </c>
      <c r="I560">
        <v>4</v>
      </c>
      <c r="J560">
        <v>61</v>
      </c>
      <c r="K560">
        <v>244</v>
      </c>
      <c r="L5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1" spans="1:12" x14ac:dyDescent="0.3">
      <c r="A561">
        <v>560</v>
      </c>
      <c r="B561" s="1">
        <v>45044</v>
      </c>
      <c r="C561" s="1" t="str">
        <f>TEXT(RetailStore[[#This Row],[Date]],"mmm")</f>
        <v>Apr</v>
      </c>
      <c r="D561">
        <v>2023</v>
      </c>
      <c r="E561" t="s">
        <v>574</v>
      </c>
      <c r="F561" t="s">
        <v>18</v>
      </c>
      <c r="G561">
        <v>23</v>
      </c>
      <c r="H561" t="s">
        <v>12</v>
      </c>
      <c r="I561">
        <v>1</v>
      </c>
      <c r="J561">
        <v>77</v>
      </c>
      <c r="K561">
        <v>77</v>
      </c>
      <c r="L5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2" spans="1:12" x14ac:dyDescent="0.3">
      <c r="A562">
        <v>561</v>
      </c>
      <c r="B562" s="1">
        <v>45087</v>
      </c>
      <c r="C562" s="1" t="str">
        <f>TEXT(RetailStore[[#This Row],[Date]],"mmm")</f>
        <v>Jun</v>
      </c>
      <c r="D562">
        <v>2023</v>
      </c>
      <c r="E562" t="s">
        <v>575</v>
      </c>
      <c r="F562" t="s">
        <v>18</v>
      </c>
      <c r="G562">
        <v>37</v>
      </c>
      <c r="H562" t="s">
        <v>15</v>
      </c>
      <c r="I562">
        <v>4</v>
      </c>
      <c r="J562">
        <v>421</v>
      </c>
      <c r="K562">
        <v>1684</v>
      </c>
      <c r="L5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3" spans="1:12" x14ac:dyDescent="0.3">
      <c r="A563">
        <v>562</v>
      </c>
      <c r="B563" s="1">
        <v>44995</v>
      </c>
      <c r="C563" s="1" t="str">
        <f>TEXT(RetailStore[[#This Row],[Date]],"mmm")</f>
        <v>Mar</v>
      </c>
      <c r="D563">
        <v>2023</v>
      </c>
      <c r="E563" t="s">
        <v>576</v>
      </c>
      <c r="F563" t="s">
        <v>11</v>
      </c>
      <c r="G563">
        <v>22</v>
      </c>
      <c r="H563" t="s">
        <v>12</v>
      </c>
      <c r="I563">
        <v>1</v>
      </c>
      <c r="J563">
        <v>337</v>
      </c>
      <c r="K563">
        <v>337</v>
      </c>
      <c r="L5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4" spans="1:12" x14ac:dyDescent="0.3">
      <c r="A564">
        <v>563</v>
      </c>
      <c r="B564" s="1">
        <v>45259</v>
      </c>
      <c r="C564" s="1" t="str">
        <f>TEXT(RetailStore[[#This Row],[Date]],"mmm")</f>
        <v>Nov</v>
      </c>
      <c r="D564">
        <v>2023</v>
      </c>
      <c r="E564" t="s">
        <v>577</v>
      </c>
      <c r="F564" t="s">
        <v>11</v>
      </c>
      <c r="G564">
        <v>46</v>
      </c>
      <c r="H564" t="s">
        <v>20</v>
      </c>
      <c r="I564">
        <v>2</v>
      </c>
      <c r="J564">
        <v>346</v>
      </c>
      <c r="K564">
        <v>692</v>
      </c>
      <c r="L5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65" spans="1:12" x14ac:dyDescent="0.3">
      <c r="A565">
        <v>564</v>
      </c>
      <c r="B565" s="1">
        <v>45004</v>
      </c>
      <c r="C565" s="1" t="str">
        <f>TEXT(RetailStore[[#This Row],[Date]],"mmm")</f>
        <v>Mar</v>
      </c>
      <c r="D565">
        <v>2023</v>
      </c>
      <c r="E565" t="s">
        <v>578</v>
      </c>
      <c r="F565" t="s">
        <v>18</v>
      </c>
      <c r="G565">
        <v>57</v>
      </c>
      <c r="H565" t="s">
        <v>12</v>
      </c>
      <c r="I565">
        <v>4</v>
      </c>
      <c r="J565">
        <v>465</v>
      </c>
      <c r="K565">
        <v>1860</v>
      </c>
      <c r="L5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6" spans="1:12" x14ac:dyDescent="0.3">
      <c r="A566">
        <v>565</v>
      </c>
      <c r="B566" s="1">
        <v>45038</v>
      </c>
      <c r="C566" s="1" t="str">
        <f>TEXT(RetailStore[[#This Row],[Date]],"mmm")</f>
        <v>Apr</v>
      </c>
      <c r="D566">
        <v>2023</v>
      </c>
      <c r="E566" t="s">
        <v>579</v>
      </c>
      <c r="F566" t="s">
        <v>11</v>
      </c>
      <c r="G566">
        <v>24</v>
      </c>
      <c r="H566" t="s">
        <v>15</v>
      </c>
      <c r="I566">
        <v>1</v>
      </c>
      <c r="J566">
        <v>326</v>
      </c>
      <c r="K566">
        <v>326</v>
      </c>
      <c r="L5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7" spans="1:12" x14ac:dyDescent="0.3">
      <c r="A567">
        <v>566</v>
      </c>
      <c r="B567" s="1">
        <v>45123</v>
      </c>
      <c r="C567" s="1" t="str">
        <f>TEXT(RetailStore[[#This Row],[Date]],"mmm")</f>
        <v>Jul</v>
      </c>
      <c r="D567">
        <v>2023</v>
      </c>
      <c r="E567" t="s">
        <v>580</v>
      </c>
      <c r="F567" t="s">
        <v>18</v>
      </c>
      <c r="G567">
        <v>45</v>
      </c>
      <c r="H567" t="s">
        <v>20</v>
      </c>
      <c r="I567">
        <v>2</v>
      </c>
      <c r="J567">
        <v>151</v>
      </c>
      <c r="K567">
        <v>302</v>
      </c>
      <c r="L5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68" spans="1:12" x14ac:dyDescent="0.3">
      <c r="A568">
        <v>567</v>
      </c>
      <c r="B568" s="1">
        <v>45068</v>
      </c>
      <c r="C568" s="1" t="str">
        <f>TEXT(RetailStore[[#This Row],[Date]],"mmm")</f>
        <v>May</v>
      </c>
      <c r="D568">
        <v>2023</v>
      </c>
      <c r="E568" t="s">
        <v>581</v>
      </c>
      <c r="F568" t="s">
        <v>11</v>
      </c>
      <c r="G568">
        <v>33</v>
      </c>
      <c r="H568" t="s">
        <v>12</v>
      </c>
      <c r="I568">
        <v>3</v>
      </c>
      <c r="J568">
        <v>423</v>
      </c>
      <c r="K568">
        <v>1269</v>
      </c>
      <c r="L5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69" spans="1:12" x14ac:dyDescent="0.3">
      <c r="A569">
        <v>568</v>
      </c>
      <c r="B569" s="1">
        <v>45280</v>
      </c>
      <c r="C569" s="1" t="str">
        <f>TEXT(RetailStore[[#This Row],[Date]],"mmm")</f>
        <v>Dec</v>
      </c>
      <c r="D569">
        <v>2023</v>
      </c>
      <c r="E569" t="s">
        <v>582</v>
      </c>
      <c r="F569" t="s">
        <v>11</v>
      </c>
      <c r="G569">
        <v>60</v>
      </c>
      <c r="H569" t="s">
        <v>20</v>
      </c>
      <c r="I569">
        <v>2</v>
      </c>
      <c r="J569">
        <v>290</v>
      </c>
      <c r="K569">
        <v>580</v>
      </c>
      <c r="L5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0" spans="1:12" x14ac:dyDescent="0.3">
      <c r="A570">
        <v>569</v>
      </c>
      <c r="B570" s="1">
        <v>45237</v>
      </c>
      <c r="C570" s="1" t="str">
        <f>TEXT(RetailStore[[#This Row],[Date]],"mmm")</f>
        <v>Nov</v>
      </c>
      <c r="D570">
        <v>2023</v>
      </c>
      <c r="E570" t="s">
        <v>583</v>
      </c>
      <c r="F570" t="s">
        <v>11</v>
      </c>
      <c r="G570">
        <v>43</v>
      </c>
      <c r="H570" t="s">
        <v>20</v>
      </c>
      <c r="I570">
        <v>1</v>
      </c>
      <c r="J570">
        <v>426</v>
      </c>
      <c r="K570">
        <v>426</v>
      </c>
      <c r="L5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1" spans="1:12" x14ac:dyDescent="0.3">
      <c r="A571">
        <v>570</v>
      </c>
      <c r="B571" s="1">
        <v>45049</v>
      </c>
      <c r="C571" s="1" t="str">
        <f>TEXT(RetailStore[[#This Row],[Date]],"mmm")</f>
        <v>May</v>
      </c>
      <c r="D571">
        <v>2023</v>
      </c>
      <c r="E571" t="s">
        <v>584</v>
      </c>
      <c r="F571" t="s">
        <v>18</v>
      </c>
      <c r="G571">
        <v>42</v>
      </c>
      <c r="H571" t="s">
        <v>15</v>
      </c>
      <c r="I571">
        <v>2</v>
      </c>
      <c r="J571">
        <v>280</v>
      </c>
      <c r="K571">
        <v>560</v>
      </c>
      <c r="L5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72" spans="1:12" x14ac:dyDescent="0.3">
      <c r="A572">
        <v>571</v>
      </c>
      <c r="B572" s="1">
        <v>45253</v>
      </c>
      <c r="C572" s="1" t="str">
        <f>TEXT(RetailStore[[#This Row],[Date]],"mmm")</f>
        <v>Nov</v>
      </c>
      <c r="D572">
        <v>2023</v>
      </c>
      <c r="E572" t="s">
        <v>585</v>
      </c>
      <c r="F572" t="s">
        <v>11</v>
      </c>
      <c r="G572">
        <v>51</v>
      </c>
      <c r="H572" t="s">
        <v>15</v>
      </c>
      <c r="I572">
        <v>3</v>
      </c>
      <c r="J572">
        <v>187</v>
      </c>
      <c r="K572">
        <v>561</v>
      </c>
      <c r="L5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3" spans="1:12" x14ac:dyDescent="0.3">
      <c r="A573">
        <v>572</v>
      </c>
      <c r="B573" s="1">
        <v>44994</v>
      </c>
      <c r="C573" s="1" t="str">
        <f>TEXT(RetailStore[[#This Row],[Date]],"mmm")</f>
        <v>Mar</v>
      </c>
      <c r="D573">
        <v>2023</v>
      </c>
      <c r="E573" t="s">
        <v>586</v>
      </c>
      <c r="F573" t="s">
        <v>18</v>
      </c>
      <c r="G573">
        <v>54</v>
      </c>
      <c r="H573" t="s">
        <v>20</v>
      </c>
      <c r="I573">
        <v>3</v>
      </c>
      <c r="J573">
        <v>304</v>
      </c>
      <c r="K573">
        <v>912</v>
      </c>
      <c r="L5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74" spans="1:12" x14ac:dyDescent="0.3">
      <c r="A574">
        <v>573</v>
      </c>
      <c r="B574" s="1">
        <v>45276</v>
      </c>
      <c r="C574" s="1" t="str">
        <f>TEXT(RetailStore[[#This Row],[Date]],"mmm")</f>
        <v>Dec</v>
      </c>
      <c r="D574">
        <v>2023</v>
      </c>
      <c r="E574" t="s">
        <v>587</v>
      </c>
      <c r="F574" t="s">
        <v>11</v>
      </c>
      <c r="G574">
        <v>48</v>
      </c>
      <c r="H574" t="s">
        <v>15</v>
      </c>
      <c r="I574">
        <v>1</v>
      </c>
      <c r="J574">
        <v>325</v>
      </c>
      <c r="K574">
        <v>325</v>
      </c>
      <c r="L5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5" spans="1:12" x14ac:dyDescent="0.3">
      <c r="A575">
        <v>574</v>
      </c>
      <c r="B575" s="1">
        <v>44961</v>
      </c>
      <c r="C575" s="1" t="str">
        <f>TEXT(RetailStore[[#This Row],[Date]],"mmm")</f>
        <v>Feb</v>
      </c>
      <c r="D575">
        <v>2023</v>
      </c>
      <c r="E575" t="s">
        <v>588</v>
      </c>
      <c r="F575" t="s">
        <v>11</v>
      </c>
      <c r="G575">
        <v>34</v>
      </c>
      <c r="H575" t="s">
        <v>15</v>
      </c>
      <c r="I575">
        <v>1</v>
      </c>
      <c r="J575">
        <v>497</v>
      </c>
      <c r="K575">
        <v>497</v>
      </c>
      <c r="L5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6" spans="1:12" x14ac:dyDescent="0.3">
      <c r="A576">
        <v>575</v>
      </c>
      <c r="B576" s="1">
        <v>44957</v>
      </c>
      <c r="C576" s="1" t="str">
        <f>TEXT(RetailStore[[#This Row],[Date]],"mmm")</f>
        <v>Jan</v>
      </c>
      <c r="D576">
        <v>2023</v>
      </c>
      <c r="E576" t="s">
        <v>589</v>
      </c>
      <c r="F576" t="s">
        <v>18</v>
      </c>
      <c r="G576">
        <v>50</v>
      </c>
      <c r="H576" t="s">
        <v>20</v>
      </c>
      <c r="I576">
        <v>4</v>
      </c>
      <c r="J576">
        <v>241</v>
      </c>
      <c r="K576">
        <v>964</v>
      </c>
      <c r="L5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7" spans="1:12" x14ac:dyDescent="0.3">
      <c r="A577">
        <v>576</v>
      </c>
      <c r="B577" s="1">
        <v>45286</v>
      </c>
      <c r="C577" s="1" t="str">
        <f>TEXT(RetailStore[[#This Row],[Date]],"mmm")</f>
        <v>Dec</v>
      </c>
      <c r="D577">
        <v>2023</v>
      </c>
      <c r="E577" t="s">
        <v>590</v>
      </c>
      <c r="F577" t="s">
        <v>18</v>
      </c>
      <c r="G577">
        <v>23</v>
      </c>
      <c r="H577" t="s">
        <v>12</v>
      </c>
      <c r="I577">
        <v>2</v>
      </c>
      <c r="J577">
        <v>167</v>
      </c>
      <c r="K577">
        <v>334</v>
      </c>
      <c r="L5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8" spans="1:12" x14ac:dyDescent="0.3">
      <c r="A578">
        <v>577</v>
      </c>
      <c r="B578" s="1">
        <v>44969</v>
      </c>
      <c r="C578" s="1" t="str">
        <f>TEXT(RetailStore[[#This Row],[Date]],"mmm")</f>
        <v>Feb</v>
      </c>
      <c r="D578">
        <v>2023</v>
      </c>
      <c r="E578" t="s">
        <v>591</v>
      </c>
      <c r="F578" t="s">
        <v>18</v>
      </c>
      <c r="G578">
        <v>23</v>
      </c>
      <c r="H578" t="s">
        <v>12</v>
      </c>
      <c r="I578">
        <v>2</v>
      </c>
      <c r="J578">
        <v>438</v>
      </c>
      <c r="K578">
        <v>876</v>
      </c>
      <c r="L5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79" spans="1:12" x14ac:dyDescent="0.3">
      <c r="A579">
        <v>578</v>
      </c>
      <c r="B579" s="1">
        <v>45006</v>
      </c>
      <c r="C579" s="1" t="str">
        <f>TEXT(RetailStore[[#This Row],[Date]],"mmm")</f>
        <v>Mar</v>
      </c>
      <c r="D579">
        <v>2023</v>
      </c>
      <c r="E579" t="s">
        <v>592</v>
      </c>
      <c r="F579" t="s">
        <v>18</v>
      </c>
      <c r="G579">
        <v>43</v>
      </c>
      <c r="H579" t="s">
        <v>12</v>
      </c>
      <c r="I579">
        <v>1</v>
      </c>
      <c r="J579">
        <v>183</v>
      </c>
      <c r="K579">
        <v>183</v>
      </c>
      <c r="L5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80" spans="1:12" x14ac:dyDescent="0.3">
      <c r="A580">
        <v>579</v>
      </c>
      <c r="B580" s="1">
        <v>45284</v>
      </c>
      <c r="C580" s="1" t="str">
        <f>TEXT(RetailStore[[#This Row],[Date]],"mmm")</f>
        <v>Dec</v>
      </c>
      <c r="D580">
        <v>2023</v>
      </c>
      <c r="E580" t="s">
        <v>593</v>
      </c>
      <c r="F580" t="s">
        <v>18</v>
      </c>
      <c r="G580">
        <v>64</v>
      </c>
      <c r="H580" t="s">
        <v>15</v>
      </c>
      <c r="I580">
        <v>1</v>
      </c>
      <c r="J580">
        <v>150</v>
      </c>
      <c r="K580">
        <v>150</v>
      </c>
      <c r="L5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1" spans="1:12" x14ac:dyDescent="0.3">
      <c r="A581">
        <v>580</v>
      </c>
      <c r="B581" s="1">
        <v>44971</v>
      </c>
      <c r="C581" s="1" t="str">
        <f>TEXT(RetailStore[[#This Row],[Date]],"mmm")</f>
        <v>Feb</v>
      </c>
      <c r="D581">
        <v>2023</v>
      </c>
      <c r="E581" t="s">
        <v>594</v>
      </c>
      <c r="F581" t="s">
        <v>18</v>
      </c>
      <c r="G581">
        <v>25</v>
      </c>
      <c r="H581" t="s">
        <v>20</v>
      </c>
      <c r="I581">
        <v>1</v>
      </c>
      <c r="J581">
        <v>183</v>
      </c>
      <c r="K581">
        <v>183</v>
      </c>
      <c r="L5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2" spans="1:12" x14ac:dyDescent="0.3">
      <c r="A582">
        <v>581</v>
      </c>
      <c r="B582" s="1">
        <v>45268</v>
      </c>
      <c r="C582" s="1" t="str">
        <f>TEXT(RetailStore[[#This Row],[Date]],"mmm")</f>
        <v>Dec</v>
      </c>
      <c r="D582">
        <v>2023</v>
      </c>
      <c r="E582" t="s">
        <v>595</v>
      </c>
      <c r="F582" t="s">
        <v>11</v>
      </c>
      <c r="G582">
        <v>25</v>
      </c>
      <c r="H582" t="s">
        <v>15</v>
      </c>
      <c r="I582">
        <v>2</v>
      </c>
      <c r="J582">
        <v>384</v>
      </c>
      <c r="K582">
        <v>768</v>
      </c>
      <c r="L5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3" spans="1:12" x14ac:dyDescent="0.3">
      <c r="A583">
        <v>582</v>
      </c>
      <c r="B583" s="1">
        <v>44932</v>
      </c>
      <c r="C583" s="1" t="str">
        <f>TEXT(RetailStore[[#This Row],[Date]],"mmm")</f>
        <v>Jan</v>
      </c>
      <c r="D583">
        <v>2023</v>
      </c>
      <c r="E583" t="s">
        <v>596</v>
      </c>
      <c r="F583" t="s">
        <v>11</v>
      </c>
      <c r="G583">
        <v>49</v>
      </c>
      <c r="H583" t="s">
        <v>20</v>
      </c>
      <c r="I583">
        <v>3</v>
      </c>
      <c r="J583">
        <v>110</v>
      </c>
      <c r="K583">
        <v>330</v>
      </c>
      <c r="L5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4" spans="1:12" x14ac:dyDescent="0.3">
      <c r="A584">
        <v>583</v>
      </c>
      <c r="B584" s="1">
        <v>45117</v>
      </c>
      <c r="C584" s="1" t="str">
        <f>TEXT(RetailStore[[#This Row],[Date]],"mmm")</f>
        <v>Jul</v>
      </c>
      <c r="D584">
        <v>2023</v>
      </c>
      <c r="E584" t="s">
        <v>597</v>
      </c>
      <c r="F584" t="s">
        <v>11</v>
      </c>
      <c r="G584">
        <v>35</v>
      </c>
      <c r="H584" t="s">
        <v>12</v>
      </c>
      <c r="I584">
        <v>1</v>
      </c>
      <c r="J584">
        <v>419</v>
      </c>
      <c r="K584">
        <v>419</v>
      </c>
      <c r="L5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85" spans="1:12" x14ac:dyDescent="0.3">
      <c r="A585">
        <v>584</v>
      </c>
      <c r="B585" s="1">
        <v>44942</v>
      </c>
      <c r="C585" s="1" t="str">
        <f>TEXT(RetailStore[[#This Row],[Date]],"mmm")</f>
        <v>Jan</v>
      </c>
      <c r="D585">
        <v>2023</v>
      </c>
      <c r="E585" t="s">
        <v>598</v>
      </c>
      <c r="F585" t="s">
        <v>18</v>
      </c>
      <c r="G585">
        <v>45</v>
      </c>
      <c r="H585" t="s">
        <v>20</v>
      </c>
      <c r="I585">
        <v>1</v>
      </c>
      <c r="J585">
        <v>159</v>
      </c>
      <c r="K585">
        <v>159</v>
      </c>
      <c r="L5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6" spans="1:12" x14ac:dyDescent="0.3">
      <c r="A586">
        <v>585</v>
      </c>
      <c r="B586" s="1">
        <v>45291</v>
      </c>
      <c r="C586" s="1" t="str">
        <f>TEXT(RetailStore[[#This Row],[Date]],"mmm")</f>
        <v>Dec</v>
      </c>
      <c r="D586">
        <v>2023</v>
      </c>
      <c r="E586" t="s">
        <v>599</v>
      </c>
      <c r="F586" t="s">
        <v>11</v>
      </c>
      <c r="G586">
        <v>49</v>
      </c>
      <c r="H586" t="s">
        <v>20</v>
      </c>
      <c r="I586">
        <v>3</v>
      </c>
      <c r="J586">
        <v>53</v>
      </c>
      <c r="K586">
        <v>159</v>
      </c>
      <c r="L5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7" spans="1:12" x14ac:dyDescent="0.3">
      <c r="A587">
        <v>586</v>
      </c>
      <c r="B587" s="1">
        <v>45182</v>
      </c>
      <c r="C587" s="1" t="str">
        <f>TEXT(RetailStore[[#This Row],[Date]],"mmm")</f>
        <v>Sep</v>
      </c>
      <c r="D587">
        <v>2023</v>
      </c>
      <c r="E587" t="s">
        <v>600</v>
      </c>
      <c r="F587" t="s">
        <v>11</v>
      </c>
      <c r="G587">
        <v>41</v>
      </c>
      <c r="H587" t="s">
        <v>15</v>
      </c>
      <c r="I587">
        <v>3</v>
      </c>
      <c r="J587">
        <v>420</v>
      </c>
      <c r="K587">
        <v>1260</v>
      </c>
      <c r="L5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88" spans="1:12" x14ac:dyDescent="0.3">
      <c r="A588">
        <v>587</v>
      </c>
      <c r="B588" s="1">
        <v>44979</v>
      </c>
      <c r="C588" s="1" t="str">
        <f>TEXT(RetailStore[[#This Row],[Date]],"mmm")</f>
        <v>Feb</v>
      </c>
      <c r="D588">
        <v>2023</v>
      </c>
      <c r="E588" t="s">
        <v>601</v>
      </c>
      <c r="F588" t="s">
        <v>11</v>
      </c>
      <c r="G588">
        <v>32</v>
      </c>
      <c r="H588" t="s">
        <v>12</v>
      </c>
      <c r="I588">
        <v>1</v>
      </c>
      <c r="J588">
        <v>47</v>
      </c>
      <c r="K588">
        <v>47</v>
      </c>
      <c r="L5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89" spans="1:12" x14ac:dyDescent="0.3">
      <c r="A589">
        <v>588</v>
      </c>
      <c r="B589" s="1">
        <v>44933</v>
      </c>
      <c r="C589" s="1" t="str">
        <f>TEXT(RetailStore[[#This Row],[Date]],"mmm")</f>
        <v>Jan</v>
      </c>
      <c r="D589">
        <v>2023</v>
      </c>
      <c r="E589" t="s">
        <v>602</v>
      </c>
      <c r="F589" t="s">
        <v>11</v>
      </c>
      <c r="G589">
        <v>20</v>
      </c>
      <c r="H589" t="s">
        <v>20</v>
      </c>
      <c r="I589">
        <v>3</v>
      </c>
      <c r="J589">
        <v>221</v>
      </c>
      <c r="K589">
        <v>663</v>
      </c>
      <c r="L5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90" spans="1:12" x14ac:dyDescent="0.3">
      <c r="A590">
        <v>589</v>
      </c>
      <c r="B590" s="1">
        <v>45003</v>
      </c>
      <c r="C590" s="1" t="str">
        <f>TEXT(RetailStore[[#This Row],[Date]],"mmm")</f>
        <v>Mar</v>
      </c>
      <c r="D590">
        <v>2023</v>
      </c>
      <c r="E590" t="s">
        <v>603</v>
      </c>
      <c r="F590" t="s">
        <v>11</v>
      </c>
      <c r="G590">
        <v>20</v>
      </c>
      <c r="H590" t="s">
        <v>12</v>
      </c>
      <c r="I590">
        <v>4</v>
      </c>
      <c r="J590">
        <v>139</v>
      </c>
      <c r="K590">
        <v>556</v>
      </c>
      <c r="L5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1" spans="1:12" x14ac:dyDescent="0.3">
      <c r="A591">
        <v>590</v>
      </c>
      <c r="B591" s="1">
        <v>45091</v>
      </c>
      <c r="C591" s="1" t="str">
        <f>TEXT(RetailStore[[#This Row],[Date]],"mmm")</f>
        <v>Jun</v>
      </c>
      <c r="D591">
        <v>2023</v>
      </c>
      <c r="E591" t="s">
        <v>604</v>
      </c>
      <c r="F591" t="s">
        <v>11</v>
      </c>
      <c r="G591">
        <v>44</v>
      </c>
      <c r="H591" t="s">
        <v>12</v>
      </c>
      <c r="I591">
        <v>3</v>
      </c>
      <c r="J591">
        <v>163</v>
      </c>
      <c r="K591">
        <v>489</v>
      </c>
      <c r="L5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2" spans="1:12" x14ac:dyDescent="0.3">
      <c r="A592">
        <v>591</v>
      </c>
      <c r="B592" s="1">
        <v>44966</v>
      </c>
      <c r="C592" s="1" t="str">
        <f>TEXT(RetailStore[[#This Row],[Date]],"mmm")</f>
        <v>Feb</v>
      </c>
      <c r="D592">
        <v>2023</v>
      </c>
      <c r="E592" t="s">
        <v>605</v>
      </c>
      <c r="F592" t="s">
        <v>18</v>
      </c>
      <c r="G592">
        <v>25</v>
      </c>
      <c r="H592" t="s">
        <v>12</v>
      </c>
      <c r="I592">
        <v>1</v>
      </c>
      <c r="J592">
        <v>116</v>
      </c>
      <c r="K592">
        <v>116</v>
      </c>
      <c r="L5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93" spans="1:12" x14ac:dyDescent="0.3">
      <c r="A593">
        <v>592</v>
      </c>
      <c r="B593" s="1">
        <v>45041</v>
      </c>
      <c r="C593" s="1" t="str">
        <f>TEXT(RetailStore[[#This Row],[Date]],"mmm")</f>
        <v>Apr</v>
      </c>
      <c r="D593">
        <v>2023</v>
      </c>
      <c r="E593" t="s">
        <v>606</v>
      </c>
      <c r="F593" t="s">
        <v>11</v>
      </c>
      <c r="G593">
        <v>43</v>
      </c>
      <c r="H593" t="s">
        <v>15</v>
      </c>
      <c r="I593">
        <v>4</v>
      </c>
      <c r="J593">
        <v>468</v>
      </c>
      <c r="K593">
        <v>1872</v>
      </c>
      <c r="L5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4" spans="1:12" x14ac:dyDescent="0.3">
      <c r="A594">
        <v>593</v>
      </c>
      <c r="B594" s="1">
        <v>45071</v>
      </c>
      <c r="C594" s="1" t="str">
        <f>TEXT(RetailStore[[#This Row],[Date]],"mmm")</f>
        <v>May</v>
      </c>
      <c r="D594">
        <v>2023</v>
      </c>
      <c r="E594" t="s">
        <v>607</v>
      </c>
      <c r="F594" t="s">
        <v>18</v>
      </c>
      <c r="G594">
        <v>38</v>
      </c>
      <c r="H594" t="s">
        <v>15</v>
      </c>
      <c r="I594">
        <v>4</v>
      </c>
      <c r="J594">
        <v>29</v>
      </c>
      <c r="K594">
        <v>116</v>
      </c>
      <c r="L5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5" spans="1:12" x14ac:dyDescent="0.3">
      <c r="A595">
        <v>594</v>
      </c>
      <c r="B595" s="1">
        <v>45115</v>
      </c>
      <c r="C595" s="1" t="str">
        <f>TEXT(RetailStore[[#This Row],[Date]],"mmm")</f>
        <v>Jul</v>
      </c>
      <c r="D595">
        <v>2023</v>
      </c>
      <c r="E595" t="s">
        <v>608</v>
      </c>
      <c r="F595" t="s">
        <v>11</v>
      </c>
      <c r="G595">
        <v>36</v>
      </c>
      <c r="H595" t="s">
        <v>12</v>
      </c>
      <c r="I595">
        <v>3</v>
      </c>
      <c r="J595">
        <v>403</v>
      </c>
      <c r="K595">
        <v>1209</v>
      </c>
      <c r="L5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596" spans="1:12" x14ac:dyDescent="0.3">
      <c r="A596">
        <v>595</v>
      </c>
      <c r="B596" s="1">
        <v>45245</v>
      </c>
      <c r="C596" s="1" t="str">
        <f>TEXT(RetailStore[[#This Row],[Date]],"mmm")</f>
        <v>Nov</v>
      </c>
      <c r="D596">
        <v>2023</v>
      </c>
      <c r="E596" t="s">
        <v>609</v>
      </c>
      <c r="F596" t="s">
        <v>11</v>
      </c>
      <c r="G596">
        <v>47</v>
      </c>
      <c r="H596" t="s">
        <v>20</v>
      </c>
      <c r="I596">
        <v>4</v>
      </c>
      <c r="J596">
        <v>420</v>
      </c>
      <c r="K596">
        <v>1680</v>
      </c>
      <c r="L5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597" spans="1:12" x14ac:dyDescent="0.3">
      <c r="A597">
        <v>596</v>
      </c>
      <c r="B597" s="1">
        <v>45027</v>
      </c>
      <c r="C597" s="1" t="str">
        <f>TEXT(RetailStore[[#This Row],[Date]],"mmm")</f>
        <v>Apr</v>
      </c>
      <c r="D597">
        <v>2023</v>
      </c>
      <c r="E597" t="s">
        <v>610</v>
      </c>
      <c r="F597" t="s">
        <v>11</v>
      </c>
      <c r="G597">
        <v>27</v>
      </c>
      <c r="H597" t="s">
        <v>15</v>
      </c>
      <c r="I597">
        <v>4</v>
      </c>
      <c r="J597">
        <v>37</v>
      </c>
      <c r="K597">
        <v>148</v>
      </c>
      <c r="L5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8" spans="1:12" x14ac:dyDescent="0.3">
      <c r="A598">
        <v>597</v>
      </c>
      <c r="B598" s="1">
        <v>45046</v>
      </c>
      <c r="C598" s="1" t="str">
        <f>TEXT(RetailStore[[#This Row],[Date]],"mmm")</f>
        <v>Apr</v>
      </c>
      <c r="D598">
        <v>2023</v>
      </c>
      <c r="E598" t="s">
        <v>611</v>
      </c>
      <c r="F598" t="s">
        <v>18</v>
      </c>
      <c r="G598">
        <v>58</v>
      </c>
      <c r="H598" t="s">
        <v>12</v>
      </c>
      <c r="I598">
        <v>1</v>
      </c>
      <c r="J598">
        <v>196</v>
      </c>
      <c r="K598">
        <v>196</v>
      </c>
      <c r="L5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599" spans="1:12" x14ac:dyDescent="0.3">
      <c r="A599">
        <v>598</v>
      </c>
      <c r="B599" s="1">
        <v>44927</v>
      </c>
      <c r="C599" s="1" t="str">
        <f>TEXT(RetailStore[[#This Row],[Date]],"mmm")</f>
        <v>Jan</v>
      </c>
      <c r="D599">
        <v>2023</v>
      </c>
      <c r="E599" t="s">
        <v>612</v>
      </c>
      <c r="F599" t="s">
        <v>18</v>
      </c>
      <c r="G599">
        <v>64</v>
      </c>
      <c r="H599" t="s">
        <v>20</v>
      </c>
      <c r="I599">
        <v>1</v>
      </c>
      <c r="J599">
        <v>130</v>
      </c>
      <c r="K599">
        <v>130</v>
      </c>
      <c r="L5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00" spans="1:12" x14ac:dyDescent="0.3">
      <c r="A600">
        <v>599</v>
      </c>
      <c r="B600" s="1">
        <v>45198</v>
      </c>
      <c r="C600" s="1" t="str">
        <f>TEXT(RetailStore[[#This Row],[Date]],"mmm")</f>
        <v>Sep</v>
      </c>
      <c r="D600">
        <v>2023</v>
      </c>
      <c r="E600" t="s">
        <v>613</v>
      </c>
      <c r="F600" t="s">
        <v>11</v>
      </c>
      <c r="G600">
        <v>44</v>
      </c>
      <c r="H600" t="s">
        <v>20</v>
      </c>
      <c r="I600">
        <v>1</v>
      </c>
      <c r="J600">
        <v>97</v>
      </c>
      <c r="K600">
        <v>97</v>
      </c>
      <c r="L6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01" spans="1:12" x14ac:dyDescent="0.3">
      <c r="A601">
        <v>600</v>
      </c>
      <c r="B601" s="1">
        <v>45291</v>
      </c>
      <c r="C601" s="1" t="str">
        <f>TEXT(RetailStore[[#This Row],[Date]],"mmm")</f>
        <v>Dec</v>
      </c>
      <c r="D601">
        <v>2023</v>
      </c>
      <c r="E601" t="s">
        <v>614</v>
      </c>
      <c r="F601" t="s">
        <v>18</v>
      </c>
      <c r="G601">
        <v>23</v>
      </c>
      <c r="H601" t="s">
        <v>15</v>
      </c>
      <c r="I601">
        <v>2</v>
      </c>
      <c r="J601">
        <v>484</v>
      </c>
      <c r="K601">
        <v>968</v>
      </c>
      <c r="L6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02" spans="1:12" x14ac:dyDescent="0.3">
      <c r="A602">
        <v>601</v>
      </c>
      <c r="B602" s="1">
        <v>45193</v>
      </c>
      <c r="C602" s="1" t="str">
        <f>TEXT(RetailStore[[#This Row],[Date]],"mmm")</f>
        <v>Sep</v>
      </c>
      <c r="D602">
        <v>2023</v>
      </c>
      <c r="E602" t="s">
        <v>615</v>
      </c>
      <c r="F602" t="s">
        <v>18</v>
      </c>
      <c r="G602">
        <v>62</v>
      </c>
      <c r="H602" t="s">
        <v>20</v>
      </c>
      <c r="I602">
        <v>4</v>
      </c>
      <c r="J602">
        <v>407</v>
      </c>
      <c r="K602">
        <v>1628</v>
      </c>
      <c r="L6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03" spans="1:12" x14ac:dyDescent="0.3">
      <c r="A603">
        <v>602</v>
      </c>
      <c r="B603" s="1">
        <v>44970</v>
      </c>
      <c r="C603" s="1" t="str">
        <f>TEXT(RetailStore[[#This Row],[Date]],"mmm")</f>
        <v>Feb</v>
      </c>
      <c r="D603">
        <v>2023</v>
      </c>
      <c r="E603" t="s">
        <v>616</v>
      </c>
      <c r="F603" t="s">
        <v>11</v>
      </c>
      <c r="G603">
        <v>50</v>
      </c>
      <c r="H603" t="s">
        <v>15</v>
      </c>
      <c r="I603">
        <v>4</v>
      </c>
      <c r="J603">
        <v>63</v>
      </c>
      <c r="K603">
        <v>252</v>
      </c>
      <c r="L6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04" spans="1:12" x14ac:dyDescent="0.3">
      <c r="A604">
        <v>603</v>
      </c>
      <c r="B604" s="1">
        <v>45230</v>
      </c>
      <c r="C604" s="1" t="str">
        <f>TEXT(RetailStore[[#This Row],[Date]],"mmm")</f>
        <v>Oct</v>
      </c>
      <c r="D604">
        <v>2023</v>
      </c>
      <c r="E604" t="s">
        <v>617</v>
      </c>
      <c r="F604" t="s">
        <v>11</v>
      </c>
      <c r="G604">
        <v>45</v>
      </c>
      <c r="H604" t="s">
        <v>12</v>
      </c>
      <c r="I604">
        <v>2</v>
      </c>
      <c r="J604">
        <v>146</v>
      </c>
      <c r="K604">
        <v>292</v>
      </c>
      <c r="L6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05" spans="1:12" x14ac:dyDescent="0.3">
      <c r="A605">
        <v>604</v>
      </c>
      <c r="B605" s="1">
        <v>45076</v>
      </c>
      <c r="C605" s="1" t="str">
        <f>TEXT(RetailStore[[#This Row],[Date]],"mmm")</f>
        <v>May</v>
      </c>
      <c r="D605">
        <v>2023</v>
      </c>
      <c r="E605" t="s">
        <v>618</v>
      </c>
      <c r="F605" t="s">
        <v>18</v>
      </c>
      <c r="G605">
        <v>38</v>
      </c>
      <c r="H605" t="s">
        <v>20</v>
      </c>
      <c r="I605">
        <v>3</v>
      </c>
      <c r="J605">
        <v>187</v>
      </c>
      <c r="K605">
        <v>561</v>
      </c>
      <c r="L6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06" spans="1:12" x14ac:dyDescent="0.3">
      <c r="A606">
        <v>605</v>
      </c>
      <c r="B606" s="1">
        <v>45158</v>
      </c>
      <c r="C606" s="1" t="str">
        <f>TEXT(RetailStore[[#This Row],[Date]],"mmm")</f>
        <v>Aug</v>
      </c>
      <c r="D606">
        <v>2023</v>
      </c>
      <c r="E606" t="s">
        <v>619</v>
      </c>
      <c r="F606" t="s">
        <v>18</v>
      </c>
      <c r="G606">
        <v>32</v>
      </c>
      <c r="H606" t="s">
        <v>15</v>
      </c>
      <c r="I606">
        <v>2</v>
      </c>
      <c r="J606">
        <v>94</v>
      </c>
      <c r="K606">
        <v>188</v>
      </c>
      <c r="L6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07" spans="1:12" x14ac:dyDescent="0.3">
      <c r="A607">
        <v>606</v>
      </c>
      <c r="B607" s="1">
        <v>45226</v>
      </c>
      <c r="C607" s="1" t="str">
        <f>TEXT(RetailStore[[#This Row],[Date]],"mmm")</f>
        <v>Oct</v>
      </c>
      <c r="D607">
        <v>2023</v>
      </c>
      <c r="E607" t="s">
        <v>620</v>
      </c>
      <c r="F607" t="s">
        <v>11</v>
      </c>
      <c r="G607">
        <v>27</v>
      </c>
      <c r="H607" t="s">
        <v>15</v>
      </c>
      <c r="I607">
        <v>2</v>
      </c>
      <c r="J607">
        <v>255</v>
      </c>
      <c r="K607">
        <v>510</v>
      </c>
      <c r="L6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08" spans="1:12" x14ac:dyDescent="0.3">
      <c r="A608">
        <v>607</v>
      </c>
      <c r="B608" s="1">
        <v>45165</v>
      </c>
      <c r="C608" s="1" t="str">
        <f>TEXT(RetailStore[[#This Row],[Date]],"mmm")</f>
        <v>Aug</v>
      </c>
      <c r="D608">
        <v>2023</v>
      </c>
      <c r="E608" t="s">
        <v>621</v>
      </c>
      <c r="F608" t="s">
        <v>18</v>
      </c>
      <c r="G608">
        <v>44</v>
      </c>
      <c r="H608" t="s">
        <v>15</v>
      </c>
      <c r="I608">
        <v>3</v>
      </c>
      <c r="J608">
        <v>419</v>
      </c>
      <c r="K608">
        <v>1257</v>
      </c>
      <c r="L6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09" spans="1:12" x14ac:dyDescent="0.3">
      <c r="A609">
        <v>608</v>
      </c>
      <c r="B609" s="1">
        <v>45033</v>
      </c>
      <c r="C609" s="1" t="str">
        <f>TEXT(RetailStore[[#This Row],[Date]],"mmm")</f>
        <v>Apr</v>
      </c>
      <c r="D609">
        <v>2023</v>
      </c>
      <c r="E609" t="s">
        <v>622</v>
      </c>
      <c r="F609" t="s">
        <v>18</v>
      </c>
      <c r="G609">
        <v>37</v>
      </c>
      <c r="H609" t="s">
        <v>20</v>
      </c>
      <c r="I609">
        <v>3</v>
      </c>
      <c r="J609">
        <v>461</v>
      </c>
      <c r="K609">
        <v>1383</v>
      </c>
      <c r="L6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10" spans="1:12" x14ac:dyDescent="0.3">
      <c r="A610">
        <v>609</v>
      </c>
      <c r="B610" s="1">
        <v>44988</v>
      </c>
      <c r="C610" s="1" t="str">
        <f>TEXT(RetailStore[[#This Row],[Date]],"mmm")</f>
        <v>Mar</v>
      </c>
      <c r="D610">
        <v>2023</v>
      </c>
      <c r="E610" t="s">
        <v>623</v>
      </c>
      <c r="F610" t="s">
        <v>11</v>
      </c>
      <c r="G610">
        <v>28</v>
      </c>
      <c r="H610" t="s">
        <v>12</v>
      </c>
      <c r="I610">
        <v>3</v>
      </c>
      <c r="J610">
        <v>448</v>
      </c>
      <c r="K610">
        <v>1344</v>
      </c>
      <c r="L6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11" spans="1:12" x14ac:dyDescent="0.3">
      <c r="A611">
        <v>610</v>
      </c>
      <c r="B611" s="1">
        <v>45287</v>
      </c>
      <c r="C611" s="1" t="str">
        <f>TEXT(RetailStore[[#This Row],[Date]],"mmm")</f>
        <v>Dec</v>
      </c>
      <c r="D611">
        <v>2023</v>
      </c>
      <c r="E611" t="s">
        <v>624</v>
      </c>
      <c r="F611" t="s">
        <v>11</v>
      </c>
      <c r="G611">
        <v>31</v>
      </c>
      <c r="H611" t="s">
        <v>20</v>
      </c>
      <c r="I611">
        <v>2</v>
      </c>
      <c r="J611">
        <v>71</v>
      </c>
      <c r="K611">
        <v>142</v>
      </c>
      <c r="L6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12" spans="1:12" x14ac:dyDescent="0.3">
      <c r="A612">
        <v>611</v>
      </c>
      <c r="B612" s="1">
        <v>45291</v>
      </c>
      <c r="C612" s="1" t="str">
        <f>TEXT(RetailStore[[#This Row],[Date]],"mmm")</f>
        <v>Dec</v>
      </c>
      <c r="D612">
        <v>2023</v>
      </c>
      <c r="E612" t="s">
        <v>625</v>
      </c>
      <c r="F612" t="s">
        <v>11</v>
      </c>
      <c r="G612">
        <v>40</v>
      </c>
      <c r="H612" t="s">
        <v>20</v>
      </c>
      <c r="I612">
        <v>1</v>
      </c>
      <c r="J612">
        <v>371</v>
      </c>
      <c r="K612">
        <v>371</v>
      </c>
      <c r="L6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13" spans="1:12" x14ac:dyDescent="0.3">
      <c r="A613">
        <v>612</v>
      </c>
      <c r="B613" s="1">
        <v>45080</v>
      </c>
      <c r="C613" s="1" t="str">
        <f>TEXT(RetailStore[[#This Row],[Date]],"mmm")</f>
        <v>Jun</v>
      </c>
      <c r="D613">
        <v>2023</v>
      </c>
      <c r="E613" t="s">
        <v>626</v>
      </c>
      <c r="F613" t="s">
        <v>18</v>
      </c>
      <c r="G613">
        <v>29</v>
      </c>
      <c r="H613" t="s">
        <v>15</v>
      </c>
      <c r="I613">
        <v>4</v>
      </c>
      <c r="J613">
        <v>462</v>
      </c>
      <c r="K613">
        <v>1848</v>
      </c>
      <c r="L6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14" spans="1:12" x14ac:dyDescent="0.3">
      <c r="A614">
        <v>613</v>
      </c>
      <c r="B614" s="1">
        <v>45158</v>
      </c>
      <c r="C614" s="1" t="str">
        <f>TEXT(RetailStore[[#This Row],[Date]],"mmm")</f>
        <v>Aug</v>
      </c>
      <c r="D614">
        <v>2023</v>
      </c>
      <c r="E614" t="s">
        <v>627</v>
      </c>
      <c r="F614" t="s">
        <v>11</v>
      </c>
      <c r="G614">
        <v>24</v>
      </c>
      <c r="H614" t="s">
        <v>20</v>
      </c>
      <c r="I614">
        <v>1</v>
      </c>
      <c r="J614">
        <v>436</v>
      </c>
      <c r="K614">
        <v>436</v>
      </c>
      <c r="L6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15" spans="1:12" x14ac:dyDescent="0.3">
      <c r="A615">
        <v>614</v>
      </c>
      <c r="B615" s="1">
        <v>44998</v>
      </c>
      <c r="C615" s="1" t="str">
        <f>TEXT(RetailStore[[#This Row],[Date]],"mmm")</f>
        <v>Mar</v>
      </c>
      <c r="D615">
        <v>2023</v>
      </c>
      <c r="E615" t="s">
        <v>628</v>
      </c>
      <c r="F615" t="s">
        <v>11</v>
      </c>
      <c r="G615">
        <v>18</v>
      </c>
      <c r="H615" t="s">
        <v>15</v>
      </c>
      <c r="I615">
        <v>2</v>
      </c>
      <c r="J615">
        <v>91</v>
      </c>
      <c r="K615">
        <v>182</v>
      </c>
      <c r="L6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16" spans="1:12" x14ac:dyDescent="0.3">
      <c r="A616">
        <v>615</v>
      </c>
      <c r="B616" s="1">
        <v>45028</v>
      </c>
      <c r="C616" s="1" t="str">
        <f>TEXT(RetailStore[[#This Row],[Date]],"mmm")</f>
        <v>Apr</v>
      </c>
      <c r="D616">
        <v>2023</v>
      </c>
      <c r="E616" t="s">
        <v>629</v>
      </c>
      <c r="F616" t="s">
        <v>18</v>
      </c>
      <c r="G616">
        <v>41</v>
      </c>
      <c r="H616" t="s">
        <v>12</v>
      </c>
      <c r="I616">
        <v>1</v>
      </c>
      <c r="J616">
        <v>323</v>
      </c>
      <c r="K616">
        <v>323</v>
      </c>
      <c r="L6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17" spans="1:12" x14ac:dyDescent="0.3">
      <c r="A617">
        <v>616</v>
      </c>
      <c r="B617" s="1">
        <v>45227</v>
      </c>
      <c r="C617" s="1" t="str">
        <f>TEXT(RetailStore[[#This Row],[Date]],"mmm")</f>
        <v>Oct</v>
      </c>
      <c r="D617">
        <v>2023</v>
      </c>
      <c r="E617" t="s">
        <v>630</v>
      </c>
      <c r="F617" t="s">
        <v>18</v>
      </c>
      <c r="G617">
        <v>22</v>
      </c>
      <c r="H617" t="s">
        <v>15</v>
      </c>
      <c r="I617">
        <v>1</v>
      </c>
      <c r="J617">
        <v>126</v>
      </c>
      <c r="K617">
        <v>126</v>
      </c>
      <c r="L6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18" spans="1:12" x14ac:dyDescent="0.3">
      <c r="A618">
        <v>617</v>
      </c>
      <c r="B618" s="1">
        <v>45257</v>
      </c>
      <c r="C618" s="1" t="str">
        <f>TEXT(RetailStore[[#This Row],[Date]],"mmm")</f>
        <v>Nov</v>
      </c>
      <c r="D618">
        <v>2023</v>
      </c>
      <c r="E618" t="s">
        <v>631</v>
      </c>
      <c r="F618" t="s">
        <v>18</v>
      </c>
      <c r="G618">
        <v>26</v>
      </c>
      <c r="H618" t="s">
        <v>15</v>
      </c>
      <c r="I618">
        <v>3</v>
      </c>
      <c r="J618">
        <v>87</v>
      </c>
      <c r="K618">
        <v>261</v>
      </c>
      <c r="L6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19" spans="1:12" x14ac:dyDescent="0.3">
      <c r="A619">
        <v>618</v>
      </c>
      <c r="B619" s="1">
        <v>44948</v>
      </c>
      <c r="C619" s="1" t="str">
        <f>TEXT(RetailStore[[#This Row],[Date]],"mmm")</f>
        <v>Jan</v>
      </c>
      <c r="D619">
        <v>2023</v>
      </c>
      <c r="E619" t="s">
        <v>632</v>
      </c>
      <c r="F619" t="s">
        <v>18</v>
      </c>
      <c r="G619">
        <v>21</v>
      </c>
      <c r="H619" t="s">
        <v>15</v>
      </c>
      <c r="I619">
        <v>4</v>
      </c>
      <c r="J619">
        <v>445</v>
      </c>
      <c r="K619">
        <v>1780</v>
      </c>
      <c r="L6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20" spans="1:12" x14ac:dyDescent="0.3">
      <c r="A620">
        <v>619</v>
      </c>
      <c r="B620" s="1">
        <v>45129</v>
      </c>
      <c r="C620" s="1" t="str">
        <f>TEXT(RetailStore[[#This Row],[Date]],"mmm")</f>
        <v>Jul</v>
      </c>
      <c r="D620">
        <v>2023</v>
      </c>
      <c r="E620" t="s">
        <v>633</v>
      </c>
      <c r="F620" t="s">
        <v>18</v>
      </c>
      <c r="G620">
        <v>19</v>
      </c>
      <c r="H620" t="s">
        <v>20</v>
      </c>
      <c r="I620">
        <v>4</v>
      </c>
      <c r="J620">
        <v>113</v>
      </c>
      <c r="K620">
        <v>452</v>
      </c>
      <c r="L6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21" spans="1:12" x14ac:dyDescent="0.3">
      <c r="A621">
        <v>620</v>
      </c>
      <c r="B621" s="1">
        <v>45108</v>
      </c>
      <c r="C621" s="1" t="str">
        <f>TEXT(RetailStore[[#This Row],[Date]],"mmm")</f>
        <v>Jul</v>
      </c>
      <c r="D621">
        <v>2023</v>
      </c>
      <c r="E621" t="s">
        <v>634</v>
      </c>
      <c r="F621" t="s">
        <v>11</v>
      </c>
      <c r="G621">
        <v>29</v>
      </c>
      <c r="H621" t="s">
        <v>20</v>
      </c>
      <c r="I621">
        <v>3</v>
      </c>
      <c r="J621">
        <v>253</v>
      </c>
      <c r="K621">
        <v>759</v>
      </c>
      <c r="L6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22" spans="1:12" x14ac:dyDescent="0.3">
      <c r="A622">
        <v>621</v>
      </c>
      <c r="B622" s="1">
        <v>45003</v>
      </c>
      <c r="C622" s="1" t="str">
        <f>TEXT(RetailStore[[#This Row],[Date]],"mmm")</f>
        <v>Mar</v>
      </c>
      <c r="D622">
        <v>2023</v>
      </c>
      <c r="E622" t="s">
        <v>635</v>
      </c>
      <c r="F622" t="s">
        <v>11</v>
      </c>
      <c r="G622">
        <v>57</v>
      </c>
      <c r="H622" t="s">
        <v>12</v>
      </c>
      <c r="I622">
        <v>2</v>
      </c>
      <c r="J622">
        <v>356</v>
      </c>
      <c r="K622">
        <v>712</v>
      </c>
      <c r="L6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23" spans="1:12" x14ac:dyDescent="0.3">
      <c r="A623">
        <v>622</v>
      </c>
      <c r="B623" s="1">
        <v>45078</v>
      </c>
      <c r="C623" s="1" t="str">
        <f>TEXT(RetailStore[[#This Row],[Date]],"mmm")</f>
        <v>Jun</v>
      </c>
      <c r="D623">
        <v>2023</v>
      </c>
      <c r="E623" t="s">
        <v>636</v>
      </c>
      <c r="F623" t="s">
        <v>18</v>
      </c>
      <c r="G623">
        <v>44</v>
      </c>
      <c r="H623" t="s">
        <v>12</v>
      </c>
      <c r="I623">
        <v>4</v>
      </c>
      <c r="J623">
        <v>56</v>
      </c>
      <c r="K623">
        <v>224</v>
      </c>
      <c r="L6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24" spans="1:12" x14ac:dyDescent="0.3">
      <c r="A624">
        <v>623</v>
      </c>
      <c r="B624" s="1">
        <v>44971</v>
      </c>
      <c r="C624" s="1" t="str">
        <f>TEXT(RetailStore[[#This Row],[Date]],"mmm")</f>
        <v>Feb</v>
      </c>
      <c r="D624">
        <v>2023</v>
      </c>
      <c r="E624" t="s">
        <v>637</v>
      </c>
      <c r="F624" t="s">
        <v>18</v>
      </c>
      <c r="G624">
        <v>42</v>
      </c>
      <c r="H624" t="s">
        <v>15</v>
      </c>
      <c r="I624">
        <v>4</v>
      </c>
      <c r="J624">
        <v>127</v>
      </c>
      <c r="K624">
        <v>508</v>
      </c>
      <c r="L6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25" spans="1:12" x14ac:dyDescent="0.3">
      <c r="A625">
        <v>624</v>
      </c>
      <c r="B625" s="1">
        <v>45256</v>
      </c>
      <c r="C625" s="1" t="str">
        <f>TEXT(RetailStore[[#This Row],[Date]],"mmm")</f>
        <v>Nov</v>
      </c>
      <c r="D625">
        <v>2023</v>
      </c>
      <c r="E625" t="s">
        <v>638</v>
      </c>
      <c r="F625" t="s">
        <v>11</v>
      </c>
      <c r="G625">
        <v>58</v>
      </c>
      <c r="H625" t="s">
        <v>12</v>
      </c>
      <c r="I625">
        <v>1</v>
      </c>
      <c r="J625">
        <v>220</v>
      </c>
      <c r="K625">
        <v>220</v>
      </c>
      <c r="L6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26" spans="1:12" x14ac:dyDescent="0.3">
      <c r="A626">
        <v>625</v>
      </c>
      <c r="B626" s="1">
        <v>45110</v>
      </c>
      <c r="C626" s="1" t="str">
        <f>TEXT(RetailStore[[#This Row],[Date]],"mmm")</f>
        <v>Jul</v>
      </c>
      <c r="D626">
        <v>2023</v>
      </c>
      <c r="E626" t="s">
        <v>639</v>
      </c>
      <c r="F626" t="s">
        <v>18</v>
      </c>
      <c r="G626">
        <v>52</v>
      </c>
      <c r="H626" t="s">
        <v>20</v>
      </c>
      <c r="I626">
        <v>3</v>
      </c>
      <c r="J626">
        <v>492</v>
      </c>
      <c r="K626">
        <v>1476</v>
      </c>
      <c r="L6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27" spans="1:12" x14ac:dyDescent="0.3">
      <c r="A627">
        <v>626</v>
      </c>
      <c r="B627" s="1">
        <v>45216</v>
      </c>
      <c r="C627" s="1" t="str">
        <f>TEXT(RetailStore[[#This Row],[Date]],"mmm")</f>
        <v>Oct</v>
      </c>
      <c r="D627">
        <v>2023</v>
      </c>
      <c r="E627" t="s">
        <v>640</v>
      </c>
      <c r="F627" t="s">
        <v>18</v>
      </c>
      <c r="G627">
        <v>42</v>
      </c>
      <c r="H627" t="s">
        <v>20</v>
      </c>
      <c r="I627">
        <v>2</v>
      </c>
      <c r="J627">
        <v>38</v>
      </c>
      <c r="K627">
        <v>76</v>
      </c>
      <c r="L6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28" spans="1:12" x14ac:dyDescent="0.3">
      <c r="A628">
        <v>627</v>
      </c>
      <c r="B628" s="1">
        <v>45090</v>
      </c>
      <c r="C628" s="1" t="str">
        <f>TEXT(RetailStore[[#This Row],[Date]],"mmm")</f>
        <v>Jun</v>
      </c>
      <c r="D628">
        <v>2023</v>
      </c>
      <c r="E628" t="s">
        <v>641</v>
      </c>
      <c r="F628" t="s">
        <v>11</v>
      </c>
      <c r="G628">
        <v>19</v>
      </c>
      <c r="H628" t="s">
        <v>20</v>
      </c>
      <c r="I628">
        <v>1</v>
      </c>
      <c r="J628">
        <v>439</v>
      </c>
      <c r="K628">
        <v>439</v>
      </c>
      <c r="L6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29" spans="1:12" x14ac:dyDescent="0.3">
      <c r="A629">
        <v>628</v>
      </c>
      <c r="B629" s="1">
        <v>45168</v>
      </c>
      <c r="C629" s="1" t="str">
        <f>TEXT(RetailStore[[#This Row],[Date]],"mmm")</f>
        <v>Aug</v>
      </c>
      <c r="D629">
        <v>2023</v>
      </c>
      <c r="E629" t="s">
        <v>642</v>
      </c>
      <c r="F629" t="s">
        <v>18</v>
      </c>
      <c r="G629">
        <v>55</v>
      </c>
      <c r="H629" t="s">
        <v>15</v>
      </c>
      <c r="I629">
        <v>2</v>
      </c>
      <c r="J629">
        <v>76</v>
      </c>
      <c r="K629">
        <v>152</v>
      </c>
      <c r="L6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30" spans="1:12" x14ac:dyDescent="0.3">
      <c r="A630">
        <v>629</v>
      </c>
      <c r="B630" s="1">
        <v>45053</v>
      </c>
      <c r="C630" s="1" t="str">
        <f>TEXT(RetailStore[[#This Row],[Date]],"mmm")</f>
        <v>May</v>
      </c>
      <c r="D630">
        <v>2023</v>
      </c>
      <c r="E630" t="s">
        <v>643</v>
      </c>
      <c r="F630" t="s">
        <v>11</v>
      </c>
      <c r="G630">
        <v>35</v>
      </c>
      <c r="H630" t="s">
        <v>12</v>
      </c>
      <c r="I630">
        <v>1</v>
      </c>
      <c r="J630">
        <v>416</v>
      </c>
      <c r="K630">
        <v>416</v>
      </c>
      <c r="L6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31" spans="1:12" x14ac:dyDescent="0.3">
      <c r="A631">
        <v>630</v>
      </c>
      <c r="B631" s="1">
        <v>45039</v>
      </c>
      <c r="C631" s="1" t="str">
        <f>TEXT(RetailStore[[#This Row],[Date]],"mmm")</f>
        <v>Apr</v>
      </c>
      <c r="D631">
        <v>2023</v>
      </c>
      <c r="E631" t="s">
        <v>644</v>
      </c>
      <c r="F631" t="s">
        <v>18</v>
      </c>
      <c r="G631">
        <v>40</v>
      </c>
      <c r="H631" t="s">
        <v>15</v>
      </c>
      <c r="I631">
        <v>2</v>
      </c>
      <c r="J631">
        <v>146</v>
      </c>
      <c r="K631">
        <v>292</v>
      </c>
      <c r="L6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32" spans="1:12" x14ac:dyDescent="0.3">
      <c r="A632">
        <v>631</v>
      </c>
      <c r="B632" s="1">
        <v>45230</v>
      </c>
      <c r="C632" s="1" t="str">
        <f>TEXT(RetailStore[[#This Row],[Date]],"mmm")</f>
        <v>Oct</v>
      </c>
      <c r="D632">
        <v>2023</v>
      </c>
      <c r="E632" t="s">
        <v>645</v>
      </c>
      <c r="F632" t="s">
        <v>18</v>
      </c>
      <c r="G632">
        <v>62</v>
      </c>
      <c r="H632" t="s">
        <v>20</v>
      </c>
      <c r="I632">
        <v>1</v>
      </c>
      <c r="J632">
        <v>385</v>
      </c>
      <c r="K632">
        <v>385</v>
      </c>
      <c r="L6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33" spans="1:12" x14ac:dyDescent="0.3">
      <c r="A633">
        <v>632</v>
      </c>
      <c r="B633" s="1">
        <v>45285</v>
      </c>
      <c r="C633" s="1" t="str">
        <f>TEXT(RetailStore[[#This Row],[Date]],"mmm")</f>
        <v>Dec</v>
      </c>
      <c r="D633">
        <v>2023</v>
      </c>
      <c r="E633" t="s">
        <v>646</v>
      </c>
      <c r="F633" t="s">
        <v>18</v>
      </c>
      <c r="G633">
        <v>54</v>
      </c>
      <c r="H633" t="s">
        <v>12</v>
      </c>
      <c r="I633">
        <v>2</v>
      </c>
      <c r="J633">
        <v>313</v>
      </c>
      <c r="K633">
        <v>626</v>
      </c>
      <c r="L6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34" spans="1:12" x14ac:dyDescent="0.3">
      <c r="A634">
        <v>633</v>
      </c>
      <c r="B634" s="1">
        <v>45023</v>
      </c>
      <c r="C634" s="1" t="str">
        <f>TEXT(RetailStore[[#This Row],[Date]],"mmm")</f>
        <v>Apr</v>
      </c>
      <c r="D634">
        <v>2023</v>
      </c>
      <c r="E634" t="s">
        <v>647</v>
      </c>
      <c r="F634" t="s">
        <v>18</v>
      </c>
      <c r="G634">
        <v>52</v>
      </c>
      <c r="H634" t="s">
        <v>20</v>
      </c>
      <c r="I634">
        <v>2</v>
      </c>
      <c r="J634">
        <v>276</v>
      </c>
      <c r="K634">
        <v>552</v>
      </c>
      <c r="L6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35" spans="1:12" x14ac:dyDescent="0.3">
      <c r="A635">
        <v>634</v>
      </c>
      <c r="B635" s="1">
        <v>44946</v>
      </c>
      <c r="C635" s="1" t="str">
        <f>TEXT(RetailStore[[#This Row],[Date]],"mmm")</f>
        <v>Jan</v>
      </c>
      <c r="D635">
        <v>2023</v>
      </c>
      <c r="E635" t="s">
        <v>648</v>
      </c>
      <c r="F635" t="s">
        <v>11</v>
      </c>
      <c r="G635">
        <v>21</v>
      </c>
      <c r="H635" t="s">
        <v>15</v>
      </c>
      <c r="I635">
        <v>2</v>
      </c>
      <c r="J635">
        <v>35</v>
      </c>
      <c r="K635">
        <v>70</v>
      </c>
      <c r="L6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36" spans="1:12" x14ac:dyDescent="0.3">
      <c r="A636">
        <v>635</v>
      </c>
      <c r="B636" s="1">
        <v>45196</v>
      </c>
      <c r="C636" s="1" t="str">
        <f>TEXT(RetailStore[[#This Row],[Date]],"mmm")</f>
        <v>Sep</v>
      </c>
      <c r="D636">
        <v>2023</v>
      </c>
      <c r="E636" t="s">
        <v>649</v>
      </c>
      <c r="F636" t="s">
        <v>18</v>
      </c>
      <c r="G636">
        <v>18</v>
      </c>
      <c r="H636" t="s">
        <v>20</v>
      </c>
      <c r="I636">
        <v>2</v>
      </c>
      <c r="J636">
        <v>437</v>
      </c>
      <c r="K636">
        <v>874</v>
      </c>
      <c r="L6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37" spans="1:12" x14ac:dyDescent="0.3">
      <c r="A637">
        <v>636</v>
      </c>
      <c r="B637" s="1">
        <v>44993</v>
      </c>
      <c r="C637" s="1" t="str">
        <f>TEXT(RetailStore[[#This Row],[Date]],"mmm")</f>
        <v>Mar</v>
      </c>
      <c r="D637">
        <v>2023</v>
      </c>
      <c r="E637" t="s">
        <v>650</v>
      </c>
      <c r="F637" t="s">
        <v>18</v>
      </c>
      <c r="G637">
        <v>63</v>
      </c>
      <c r="H637" t="s">
        <v>15</v>
      </c>
      <c r="I637">
        <v>3</v>
      </c>
      <c r="J637">
        <v>55</v>
      </c>
      <c r="K637">
        <v>165</v>
      </c>
      <c r="L6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38" spans="1:12" x14ac:dyDescent="0.3">
      <c r="A638">
        <v>637</v>
      </c>
      <c r="B638" s="1">
        <v>44938</v>
      </c>
      <c r="C638" s="1" t="str">
        <f>TEXT(RetailStore[[#This Row],[Date]],"mmm")</f>
        <v>Jan</v>
      </c>
      <c r="D638">
        <v>2023</v>
      </c>
      <c r="E638" t="s">
        <v>651</v>
      </c>
      <c r="F638" t="s">
        <v>11</v>
      </c>
      <c r="G638">
        <v>55</v>
      </c>
      <c r="H638" t="s">
        <v>12</v>
      </c>
      <c r="I638">
        <v>2</v>
      </c>
      <c r="J638">
        <v>421</v>
      </c>
      <c r="K638">
        <v>842</v>
      </c>
      <c r="L6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39" spans="1:12" x14ac:dyDescent="0.3">
      <c r="A639">
        <v>638</v>
      </c>
      <c r="B639" s="1">
        <v>44983</v>
      </c>
      <c r="C639" s="1" t="str">
        <f>TEXT(RetailStore[[#This Row],[Date]],"mmm")</f>
        <v>Feb</v>
      </c>
      <c r="D639">
        <v>2023</v>
      </c>
      <c r="E639" t="s">
        <v>652</v>
      </c>
      <c r="F639" t="s">
        <v>18</v>
      </c>
      <c r="G639">
        <v>22</v>
      </c>
      <c r="H639" t="s">
        <v>20</v>
      </c>
      <c r="I639">
        <v>4</v>
      </c>
      <c r="J639">
        <v>325</v>
      </c>
      <c r="K639">
        <v>1300</v>
      </c>
      <c r="L6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40" spans="1:12" x14ac:dyDescent="0.3">
      <c r="A640">
        <v>639</v>
      </c>
      <c r="B640" s="1">
        <v>44978</v>
      </c>
      <c r="C640" s="1" t="str">
        <f>TEXT(RetailStore[[#This Row],[Date]],"mmm")</f>
        <v>Feb</v>
      </c>
      <c r="D640">
        <v>2023</v>
      </c>
      <c r="E640" t="s">
        <v>653</v>
      </c>
      <c r="F640" t="s">
        <v>18</v>
      </c>
      <c r="G640">
        <v>37</v>
      </c>
      <c r="H640" t="s">
        <v>20</v>
      </c>
      <c r="I640">
        <v>2</v>
      </c>
      <c r="J640">
        <v>105</v>
      </c>
      <c r="K640">
        <v>210</v>
      </c>
      <c r="L6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41" spans="1:12" x14ac:dyDescent="0.3">
      <c r="A641">
        <v>640</v>
      </c>
      <c r="B641" s="1">
        <v>45150</v>
      </c>
      <c r="C641" s="1" t="str">
        <f>TEXT(RetailStore[[#This Row],[Date]],"mmm")</f>
        <v>Aug</v>
      </c>
      <c r="D641">
        <v>2023</v>
      </c>
      <c r="E641" t="s">
        <v>654</v>
      </c>
      <c r="F641" t="s">
        <v>18</v>
      </c>
      <c r="G641">
        <v>59</v>
      </c>
      <c r="H641" t="s">
        <v>20</v>
      </c>
      <c r="I641">
        <v>2</v>
      </c>
      <c r="J641">
        <v>387</v>
      </c>
      <c r="K641">
        <v>774</v>
      </c>
      <c r="L6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42" spans="1:12" x14ac:dyDescent="0.3">
      <c r="A642">
        <v>641</v>
      </c>
      <c r="B642" s="1">
        <v>45214</v>
      </c>
      <c r="C642" s="1" t="str">
        <f>TEXT(RetailStore[[#This Row],[Date]],"mmm")</f>
        <v>Oct</v>
      </c>
      <c r="D642">
        <v>2023</v>
      </c>
      <c r="E642" t="s">
        <v>655</v>
      </c>
      <c r="F642" t="s">
        <v>18</v>
      </c>
      <c r="G642">
        <v>32</v>
      </c>
      <c r="H642" t="s">
        <v>12</v>
      </c>
      <c r="I642">
        <v>2</v>
      </c>
      <c r="J642">
        <v>218</v>
      </c>
      <c r="K642">
        <v>436</v>
      </c>
      <c r="L6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43" spans="1:12" x14ac:dyDescent="0.3">
      <c r="A643">
        <v>642</v>
      </c>
      <c r="B643" s="1">
        <v>45084</v>
      </c>
      <c r="C643" s="1" t="str">
        <f>TEXT(RetailStore[[#This Row],[Date]],"mmm")</f>
        <v>Jun</v>
      </c>
      <c r="D643">
        <v>2023</v>
      </c>
      <c r="E643" t="s">
        <v>656</v>
      </c>
      <c r="F643" t="s">
        <v>18</v>
      </c>
      <c r="G643">
        <v>26</v>
      </c>
      <c r="H643" t="s">
        <v>15</v>
      </c>
      <c r="I643">
        <v>1</v>
      </c>
      <c r="J643">
        <v>384</v>
      </c>
      <c r="K643">
        <v>384</v>
      </c>
      <c r="L6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44" spans="1:12" x14ac:dyDescent="0.3">
      <c r="A644">
        <v>643</v>
      </c>
      <c r="B644" s="1">
        <v>45220</v>
      </c>
      <c r="C644" s="1" t="str">
        <f>TEXT(RetailStore[[#This Row],[Date]],"mmm")</f>
        <v>Oct</v>
      </c>
      <c r="D644">
        <v>2023</v>
      </c>
      <c r="E644" t="s">
        <v>657</v>
      </c>
      <c r="F644" t="s">
        <v>18</v>
      </c>
      <c r="G644">
        <v>54</v>
      </c>
      <c r="H644" t="s">
        <v>15</v>
      </c>
      <c r="I644">
        <v>2</v>
      </c>
      <c r="J644">
        <v>333</v>
      </c>
      <c r="K644">
        <v>666</v>
      </c>
      <c r="L6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45" spans="1:12" x14ac:dyDescent="0.3">
      <c r="A645">
        <v>644</v>
      </c>
      <c r="B645" s="1">
        <v>45089</v>
      </c>
      <c r="C645" s="1" t="str">
        <f>TEXT(RetailStore[[#This Row],[Date]],"mmm")</f>
        <v>Jun</v>
      </c>
      <c r="D645">
        <v>2023</v>
      </c>
      <c r="E645" t="s">
        <v>658</v>
      </c>
      <c r="F645" t="s">
        <v>11</v>
      </c>
      <c r="G645">
        <v>58</v>
      </c>
      <c r="H645" t="s">
        <v>12</v>
      </c>
      <c r="I645">
        <v>1</v>
      </c>
      <c r="J645">
        <v>279</v>
      </c>
      <c r="K645">
        <v>279</v>
      </c>
      <c r="L6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46" spans="1:12" x14ac:dyDescent="0.3">
      <c r="A646">
        <v>645</v>
      </c>
      <c r="B646" s="1">
        <v>44999</v>
      </c>
      <c r="C646" s="1" t="str">
        <f>TEXT(RetailStore[[#This Row],[Date]],"mmm")</f>
        <v>Mar</v>
      </c>
      <c r="D646">
        <v>2023</v>
      </c>
      <c r="E646" t="s">
        <v>659</v>
      </c>
      <c r="F646" t="s">
        <v>18</v>
      </c>
      <c r="G646">
        <v>22</v>
      </c>
      <c r="H646" t="s">
        <v>15</v>
      </c>
      <c r="I646">
        <v>3</v>
      </c>
      <c r="J646">
        <v>188</v>
      </c>
      <c r="K646">
        <v>564</v>
      </c>
      <c r="L6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47" spans="1:12" x14ac:dyDescent="0.3">
      <c r="A647">
        <v>646</v>
      </c>
      <c r="B647" s="1">
        <v>45012</v>
      </c>
      <c r="C647" s="1" t="str">
        <f>TEXT(RetailStore[[#This Row],[Date]],"mmm")</f>
        <v>Mar</v>
      </c>
      <c r="D647">
        <v>2023</v>
      </c>
      <c r="E647" t="s">
        <v>660</v>
      </c>
      <c r="F647" t="s">
        <v>11</v>
      </c>
      <c r="G647">
        <v>63</v>
      </c>
      <c r="H647" t="s">
        <v>12</v>
      </c>
      <c r="I647">
        <v>3</v>
      </c>
      <c r="J647">
        <v>253</v>
      </c>
      <c r="K647">
        <v>759</v>
      </c>
      <c r="L6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48" spans="1:12" x14ac:dyDescent="0.3">
      <c r="A648">
        <v>647</v>
      </c>
      <c r="B648" s="1">
        <v>44932</v>
      </c>
      <c r="C648" s="1" t="str">
        <f>TEXT(RetailStore[[#This Row],[Date]],"mmm")</f>
        <v>Jan</v>
      </c>
      <c r="D648">
        <v>2023</v>
      </c>
      <c r="E648" t="s">
        <v>661</v>
      </c>
      <c r="F648" t="s">
        <v>18</v>
      </c>
      <c r="G648">
        <v>31</v>
      </c>
      <c r="H648" t="s">
        <v>15</v>
      </c>
      <c r="I648">
        <v>1</v>
      </c>
      <c r="J648">
        <v>204</v>
      </c>
      <c r="K648">
        <v>204</v>
      </c>
      <c r="L6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49" spans="1:12" x14ac:dyDescent="0.3">
      <c r="A649">
        <v>648</v>
      </c>
      <c r="B649" s="1">
        <v>45058</v>
      </c>
      <c r="C649" s="1" t="str">
        <f>TEXT(RetailStore[[#This Row],[Date]],"mmm")</f>
        <v>May</v>
      </c>
      <c r="D649">
        <v>2023</v>
      </c>
      <c r="E649" t="s">
        <v>662</v>
      </c>
      <c r="F649" t="s">
        <v>11</v>
      </c>
      <c r="G649">
        <v>64</v>
      </c>
      <c r="H649" t="s">
        <v>15</v>
      </c>
      <c r="I649">
        <v>1</v>
      </c>
      <c r="J649">
        <v>222</v>
      </c>
      <c r="K649">
        <v>222</v>
      </c>
      <c r="L6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50" spans="1:12" x14ac:dyDescent="0.3">
      <c r="A650">
        <v>649</v>
      </c>
      <c r="B650" s="1">
        <v>45151</v>
      </c>
      <c r="C650" s="1" t="str">
        <f>TEXT(RetailStore[[#This Row],[Date]],"mmm")</f>
        <v>Aug</v>
      </c>
      <c r="D650">
        <v>2023</v>
      </c>
      <c r="E650" t="s">
        <v>663</v>
      </c>
      <c r="F650" t="s">
        <v>18</v>
      </c>
      <c r="G650">
        <v>28</v>
      </c>
      <c r="H650" t="s">
        <v>20</v>
      </c>
      <c r="I650">
        <v>4</v>
      </c>
      <c r="J650">
        <v>476</v>
      </c>
      <c r="K650">
        <v>1904</v>
      </c>
      <c r="L6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51" spans="1:12" x14ac:dyDescent="0.3">
      <c r="A651">
        <v>650</v>
      </c>
      <c r="B651" s="1">
        <v>45120</v>
      </c>
      <c r="C651" s="1" t="str">
        <f>TEXT(RetailStore[[#This Row],[Date]],"mmm")</f>
        <v>Jul</v>
      </c>
      <c r="D651">
        <v>2023</v>
      </c>
      <c r="E651" t="s">
        <v>664</v>
      </c>
      <c r="F651" t="s">
        <v>18</v>
      </c>
      <c r="G651">
        <v>52</v>
      </c>
      <c r="H651" t="s">
        <v>20</v>
      </c>
      <c r="I651">
        <v>1</v>
      </c>
      <c r="J651">
        <v>449</v>
      </c>
      <c r="K651">
        <v>449</v>
      </c>
      <c r="L6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52" spans="1:12" x14ac:dyDescent="0.3">
      <c r="A652">
        <v>651</v>
      </c>
      <c r="B652" s="1">
        <v>45172</v>
      </c>
      <c r="C652" s="1" t="str">
        <f>TEXT(RetailStore[[#This Row],[Date]],"mmm")</f>
        <v>Sep</v>
      </c>
      <c r="D652">
        <v>2023</v>
      </c>
      <c r="E652" t="s">
        <v>665</v>
      </c>
      <c r="F652" t="s">
        <v>11</v>
      </c>
      <c r="G652">
        <v>28</v>
      </c>
      <c r="H652" t="s">
        <v>20</v>
      </c>
      <c r="I652">
        <v>1</v>
      </c>
      <c r="J652">
        <v>434</v>
      </c>
      <c r="K652">
        <v>434</v>
      </c>
      <c r="L6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53" spans="1:12" x14ac:dyDescent="0.3">
      <c r="A653">
        <v>652</v>
      </c>
      <c r="B653" s="1">
        <v>44944</v>
      </c>
      <c r="C653" s="1" t="str">
        <f>TEXT(RetailStore[[#This Row],[Date]],"mmm")</f>
        <v>Jan</v>
      </c>
      <c r="D653">
        <v>2023</v>
      </c>
      <c r="E653" t="s">
        <v>666</v>
      </c>
      <c r="F653" t="s">
        <v>18</v>
      </c>
      <c r="G653">
        <v>19</v>
      </c>
      <c r="H653" t="s">
        <v>20</v>
      </c>
      <c r="I653">
        <v>3</v>
      </c>
      <c r="J653">
        <v>78</v>
      </c>
      <c r="K653">
        <v>234</v>
      </c>
      <c r="L6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54" spans="1:12" x14ac:dyDescent="0.3">
      <c r="A654">
        <v>653</v>
      </c>
      <c r="B654" s="1">
        <v>44964</v>
      </c>
      <c r="C654" s="1" t="str">
        <f>TEXT(RetailStore[[#This Row],[Date]],"mmm")</f>
        <v>Feb</v>
      </c>
      <c r="D654">
        <v>2023</v>
      </c>
      <c r="E654" t="s">
        <v>667</v>
      </c>
      <c r="F654" t="s">
        <v>18</v>
      </c>
      <c r="G654">
        <v>28</v>
      </c>
      <c r="H654" t="s">
        <v>20</v>
      </c>
      <c r="I654">
        <v>2</v>
      </c>
      <c r="J654">
        <v>399</v>
      </c>
      <c r="K654">
        <v>798</v>
      </c>
      <c r="L6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55" spans="1:12" x14ac:dyDescent="0.3">
      <c r="A655">
        <v>654</v>
      </c>
      <c r="B655" s="1">
        <v>44965</v>
      </c>
      <c r="C655" s="1" t="str">
        <f>TEXT(RetailStore[[#This Row],[Date]],"mmm")</f>
        <v>Feb</v>
      </c>
      <c r="D655">
        <v>2023</v>
      </c>
      <c r="E655" t="s">
        <v>668</v>
      </c>
      <c r="F655" t="s">
        <v>11</v>
      </c>
      <c r="G655">
        <v>39</v>
      </c>
      <c r="H655" t="s">
        <v>12</v>
      </c>
      <c r="I655">
        <v>4</v>
      </c>
      <c r="J655">
        <v>385</v>
      </c>
      <c r="K655">
        <v>1540</v>
      </c>
      <c r="L6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56" spans="1:12" x14ac:dyDescent="0.3">
      <c r="A656">
        <v>655</v>
      </c>
      <c r="B656" s="1">
        <v>44942</v>
      </c>
      <c r="C656" s="1" t="str">
        <f>TEXT(RetailStore[[#This Row],[Date]],"mmm")</f>
        <v>Jan</v>
      </c>
      <c r="D656">
        <v>2023</v>
      </c>
      <c r="E656" t="s">
        <v>669</v>
      </c>
      <c r="F656" t="s">
        <v>18</v>
      </c>
      <c r="G656">
        <v>59</v>
      </c>
      <c r="H656" t="s">
        <v>15</v>
      </c>
      <c r="I656">
        <v>4</v>
      </c>
      <c r="J656">
        <v>105</v>
      </c>
      <c r="K656">
        <v>420</v>
      </c>
      <c r="L6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57" spans="1:12" x14ac:dyDescent="0.3">
      <c r="A657">
        <v>656</v>
      </c>
      <c r="B657" s="1">
        <v>44954</v>
      </c>
      <c r="C657" s="1" t="str">
        <f>TEXT(RetailStore[[#This Row],[Date]],"mmm")</f>
        <v>Jan</v>
      </c>
      <c r="D657">
        <v>2023</v>
      </c>
      <c r="E657" t="s">
        <v>670</v>
      </c>
      <c r="F657" t="s">
        <v>11</v>
      </c>
      <c r="G657">
        <v>39</v>
      </c>
      <c r="H657" t="s">
        <v>15</v>
      </c>
      <c r="I657">
        <v>2</v>
      </c>
      <c r="J657">
        <v>234</v>
      </c>
      <c r="K657">
        <v>468</v>
      </c>
      <c r="L6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58" spans="1:12" x14ac:dyDescent="0.3">
      <c r="A658">
        <v>657</v>
      </c>
      <c r="B658" s="1">
        <v>45283</v>
      </c>
      <c r="C658" s="1" t="str">
        <f>TEXT(RetailStore[[#This Row],[Date]],"mmm")</f>
        <v>Dec</v>
      </c>
      <c r="D658">
        <v>2023</v>
      </c>
      <c r="E658" t="s">
        <v>671</v>
      </c>
      <c r="F658" t="s">
        <v>18</v>
      </c>
      <c r="G658">
        <v>60</v>
      </c>
      <c r="H658" t="s">
        <v>20</v>
      </c>
      <c r="I658">
        <v>3</v>
      </c>
      <c r="J658">
        <v>146</v>
      </c>
      <c r="K658">
        <v>438</v>
      </c>
      <c r="L6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59" spans="1:12" x14ac:dyDescent="0.3">
      <c r="A659">
        <v>658</v>
      </c>
      <c r="B659" s="1">
        <v>44976</v>
      </c>
      <c r="C659" s="1" t="str">
        <f>TEXT(RetailStore[[#This Row],[Date]],"mmm")</f>
        <v>Feb</v>
      </c>
      <c r="D659">
        <v>2023</v>
      </c>
      <c r="E659" t="s">
        <v>672</v>
      </c>
      <c r="F659" t="s">
        <v>11</v>
      </c>
      <c r="G659">
        <v>43</v>
      </c>
      <c r="H659" t="s">
        <v>12</v>
      </c>
      <c r="I659">
        <v>4</v>
      </c>
      <c r="J659">
        <v>103</v>
      </c>
      <c r="K659">
        <v>412</v>
      </c>
      <c r="L6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60" spans="1:12" x14ac:dyDescent="0.3">
      <c r="A660">
        <v>659</v>
      </c>
      <c r="B660" s="1">
        <v>44954</v>
      </c>
      <c r="C660" s="1" t="str">
        <f>TEXT(RetailStore[[#This Row],[Date]],"mmm")</f>
        <v>Jan</v>
      </c>
      <c r="D660">
        <v>2023</v>
      </c>
      <c r="E660" t="s">
        <v>673</v>
      </c>
      <c r="F660" t="s">
        <v>18</v>
      </c>
      <c r="G660">
        <v>18</v>
      </c>
      <c r="H660" t="s">
        <v>20</v>
      </c>
      <c r="I660">
        <v>1</v>
      </c>
      <c r="J660">
        <v>175</v>
      </c>
      <c r="K660">
        <v>175</v>
      </c>
      <c r="L6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61" spans="1:12" x14ac:dyDescent="0.3">
      <c r="A661">
        <v>660</v>
      </c>
      <c r="B661" s="1">
        <v>45265</v>
      </c>
      <c r="C661" s="1" t="str">
        <f>TEXT(RetailStore[[#This Row],[Date]],"mmm")</f>
        <v>Dec</v>
      </c>
      <c r="D661">
        <v>2023</v>
      </c>
      <c r="E661" t="s">
        <v>674</v>
      </c>
      <c r="F661" t="s">
        <v>18</v>
      </c>
      <c r="G661">
        <v>30</v>
      </c>
      <c r="H661" t="s">
        <v>15</v>
      </c>
      <c r="I661">
        <v>1</v>
      </c>
      <c r="J661">
        <v>130</v>
      </c>
      <c r="K661">
        <v>130</v>
      </c>
      <c r="L6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62" spans="1:12" x14ac:dyDescent="0.3">
      <c r="A662">
        <v>661</v>
      </c>
      <c r="B662" s="1">
        <v>45014</v>
      </c>
      <c r="C662" s="1" t="str">
        <f>TEXT(RetailStore[[#This Row],[Date]],"mmm")</f>
        <v>Mar</v>
      </c>
      <c r="D662">
        <v>2023</v>
      </c>
      <c r="E662" t="s">
        <v>675</v>
      </c>
      <c r="F662" t="s">
        <v>18</v>
      </c>
      <c r="G662">
        <v>23</v>
      </c>
      <c r="H662" t="s">
        <v>20</v>
      </c>
      <c r="I662">
        <v>1</v>
      </c>
      <c r="J662">
        <v>182</v>
      </c>
      <c r="K662">
        <v>182</v>
      </c>
      <c r="L6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63" spans="1:12" x14ac:dyDescent="0.3">
      <c r="A663">
        <v>662</v>
      </c>
      <c r="B663" s="1">
        <v>45130</v>
      </c>
      <c r="C663" s="1" t="str">
        <f>TEXT(RetailStore[[#This Row],[Date]],"mmm")</f>
        <v>Jul</v>
      </c>
      <c r="D663">
        <v>2023</v>
      </c>
      <c r="E663" t="s">
        <v>676</v>
      </c>
      <c r="F663" t="s">
        <v>18</v>
      </c>
      <c r="G663">
        <v>49</v>
      </c>
      <c r="H663" t="s">
        <v>12</v>
      </c>
      <c r="I663">
        <v>3</v>
      </c>
      <c r="J663">
        <v>71</v>
      </c>
      <c r="K663">
        <v>213</v>
      </c>
      <c r="L6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64" spans="1:12" x14ac:dyDescent="0.3">
      <c r="A664">
        <v>663</v>
      </c>
      <c r="B664" s="1">
        <v>45255</v>
      </c>
      <c r="C664" s="1" t="str">
        <f>TEXT(RetailStore[[#This Row],[Date]],"mmm")</f>
        <v>Nov</v>
      </c>
      <c r="D664">
        <v>2023</v>
      </c>
      <c r="E664" t="s">
        <v>677</v>
      </c>
      <c r="F664" t="s">
        <v>18</v>
      </c>
      <c r="G664">
        <v>29</v>
      </c>
      <c r="H664" t="s">
        <v>20</v>
      </c>
      <c r="I664">
        <v>4</v>
      </c>
      <c r="J664">
        <v>214</v>
      </c>
      <c r="K664">
        <v>856</v>
      </c>
      <c r="L6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65" spans="1:12" x14ac:dyDescent="0.3">
      <c r="A665">
        <v>664</v>
      </c>
      <c r="B665" s="1">
        <v>45022</v>
      </c>
      <c r="C665" s="1" t="str">
        <f>TEXT(RetailStore[[#This Row],[Date]],"mmm")</f>
        <v>Apr</v>
      </c>
      <c r="D665">
        <v>2023</v>
      </c>
      <c r="E665" t="s">
        <v>678</v>
      </c>
      <c r="F665" t="s">
        <v>18</v>
      </c>
      <c r="G665">
        <v>20</v>
      </c>
      <c r="H665" t="s">
        <v>20</v>
      </c>
      <c r="I665">
        <v>4</v>
      </c>
      <c r="J665">
        <v>263</v>
      </c>
      <c r="K665">
        <v>1052</v>
      </c>
      <c r="L6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66" spans="1:12" x14ac:dyDescent="0.3">
      <c r="A666">
        <v>665</v>
      </c>
      <c r="B666" s="1">
        <v>45061</v>
      </c>
      <c r="C666" s="1" t="str">
        <f>TEXT(RetailStore[[#This Row],[Date]],"mmm")</f>
        <v>May</v>
      </c>
      <c r="D666">
        <v>2023</v>
      </c>
      <c r="E666" t="s">
        <v>679</v>
      </c>
      <c r="F666" t="s">
        <v>11</v>
      </c>
      <c r="G666">
        <v>35</v>
      </c>
      <c r="H666" t="s">
        <v>12</v>
      </c>
      <c r="I666">
        <v>1</v>
      </c>
      <c r="J666">
        <v>102</v>
      </c>
      <c r="K666">
        <v>102</v>
      </c>
      <c r="L6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67" spans="1:12" x14ac:dyDescent="0.3">
      <c r="A667">
        <v>666</v>
      </c>
      <c r="B667" s="1">
        <v>45283</v>
      </c>
      <c r="C667" s="1" t="str">
        <f>TEXT(RetailStore[[#This Row],[Date]],"mmm")</f>
        <v>Dec</v>
      </c>
      <c r="D667">
        <v>2023</v>
      </c>
      <c r="E667" t="s">
        <v>680</v>
      </c>
      <c r="F667" t="s">
        <v>11</v>
      </c>
      <c r="G667">
        <v>23</v>
      </c>
      <c r="H667" t="s">
        <v>12</v>
      </c>
      <c r="I667">
        <v>3</v>
      </c>
      <c r="J667">
        <v>438</v>
      </c>
      <c r="K667">
        <v>1314</v>
      </c>
      <c r="L6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68" spans="1:12" x14ac:dyDescent="0.3">
      <c r="A668">
        <v>667</v>
      </c>
      <c r="B668" s="1">
        <v>45204</v>
      </c>
      <c r="C668" s="1" t="str">
        <f>TEXT(RetailStore[[#This Row],[Date]],"mmm")</f>
        <v>Oct</v>
      </c>
      <c r="D668">
        <v>2023</v>
      </c>
      <c r="E668" t="s">
        <v>681</v>
      </c>
      <c r="F668" t="s">
        <v>18</v>
      </c>
      <c r="G668">
        <v>55</v>
      </c>
      <c r="H668" t="s">
        <v>15</v>
      </c>
      <c r="I668">
        <v>1</v>
      </c>
      <c r="J668">
        <v>455</v>
      </c>
      <c r="K668">
        <v>455</v>
      </c>
      <c r="L6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69" spans="1:12" x14ac:dyDescent="0.3">
      <c r="A669">
        <v>668</v>
      </c>
      <c r="B669" s="1">
        <v>45125</v>
      </c>
      <c r="C669" s="1" t="str">
        <f>TEXT(RetailStore[[#This Row],[Date]],"mmm")</f>
        <v>Jul</v>
      </c>
      <c r="D669">
        <v>2023</v>
      </c>
      <c r="E669" t="s">
        <v>682</v>
      </c>
      <c r="F669" t="s">
        <v>18</v>
      </c>
      <c r="G669">
        <v>52</v>
      </c>
      <c r="H669" t="s">
        <v>12</v>
      </c>
      <c r="I669">
        <v>4</v>
      </c>
      <c r="J669">
        <v>318</v>
      </c>
      <c r="K669">
        <v>1272</v>
      </c>
      <c r="L6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70" spans="1:12" x14ac:dyDescent="0.3">
      <c r="A670">
        <v>669</v>
      </c>
      <c r="B670" s="1">
        <v>45047</v>
      </c>
      <c r="C670" s="1" t="str">
        <f>TEXT(RetailStore[[#This Row],[Date]],"mmm")</f>
        <v>May</v>
      </c>
      <c r="D670">
        <v>2023</v>
      </c>
      <c r="E670" t="s">
        <v>683</v>
      </c>
      <c r="F670" t="s">
        <v>18</v>
      </c>
      <c r="G670">
        <v>37</v>
      </c>
      <c r="H670" t="s">
        <v>15</v>
      </c>
      <c r="I670">
        <v>4</v>
      </c>
      <c r="J670">
        <v>487</v>
      </c>
      <c r="K670">
        <v>1948</v>
      </c>
      <c r="L6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71" spans="1:12" x14ac:dyDescent="0.3">
      <c r="A671">
        <v>670</v>
      </c>
      <c r="B671" s="1">
        <v>44944</v>
      </c>
      <c r="C671" s="1" t="str">
        <f>TEXT(RetailStore[[#This Row],[Date]],"mmm")</f>
        <v>Jan</v>
      </c>
      <c r="D671">
        <v>2023</v>
      </c>
      <c r="E671" t="s">
        <v>684</v>
      </c>
      <c r="F671" t="s">
        <v>11</v>
      </c>
      <c r="G671">
        <v>25</v>
      </c>
      <c r="H671" t="s">
        <v>20</v>
      </c>
      <c r="I671">
        <v>2</v>
      </c>
      <c r="J671">
        <v>110</v>
      </c>
      <c r="K671">
        <v>220</v>
      </c>
      <c r="L6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72" spans="1:12" x14ac:dyDescent="0.3">
      <c r="A672">
        <v>671</v>
      </c>
      <c r="B672" s="1">
        <v>45035</v>
      </c>
      <c r="C672" s="1" t="str">
        <f>TEXT(RetailStore[[#This Row],[Date]],"mmm")</f>
        <v>Apr</v>
      </c>
      <c r="D672">
        <v>2023</v>
      </c>
      <c r="E672" t="s">
        <v>685</v>
      </c>
      <c r="F672" t="s">
        <v>11</v>
      </c>
      <c r="G672">
        <v>26</v>
      </c>
      <c r="H672" t="s">
        <v>15</v>
      </c>
      <c r="I672">
        <v>4</v>
      </c>
      <c r="J672">
        <v>65</v>
      </c>
      <c r="K672">
        <v>260</v>
      </c>
      <c r="L6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73" spans="1:12" x14ac:dyDescent="0.3">
      <c r="A673">
        <v>672</v>
      </c>
      <c r="B673" s="1">
        <v>45276</v>
      </c>
      <c r="C673" s="1" t="str">
        <f>TEXT(RetailStore[[#This Row],[Date]],"mmm")</f>
        <v>Dec</v>
      </c>
      <c r="D673">
        <v>2023</v>
      </c>
      <c r="E673" t="s">
        <v>686</v>
      </c>
      <c r="F673" t="s">
        <v>18</v>
      </c>
      <c r="G673">
        <v>30</v>
      </c>
      <c r="H673" t="s">
        <v>12</v>
      </c>
      <c r="I673">
        <v>2</v>
      </c>
      <c r="J673">
        <v>452</v>
      </c>
      <c r="K673">
        <v>904</v>
      </c>
      <c r="L6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74" spans="1:12" x14ac:dyDescent="0.3">
      <c r="A674">
        <v>673</v>
      </c>
      <c r="B674" s="1">
        <v>45231</v>
      </c>
      <c r="C674" s="1" t="str">
        <f>TEXT(RetailStore[[#This Row],[Date]],"mmm")</f>
        <v>Nov</v>
      </c>
      <c r="D674">
        <v>2023</v>
      </c>
      <c r="E674" t="s">
        <v>687</v>
      </c>
      <c r="F674" t="s">
        <v>18</v>
      </c>
      <c r="G674">
        <v>38</v>
      </c>
      <c r="H674" t="s">
        <v>12</v>
      </c>
      <c r="I674">
        <v>1</v>
      </c>
      <c r="J674">
        <v>69</v>
      </c>
      <c r="K674">
        <v>69</v>
      </c>
      <c r="L6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75" spans="1:12" x14ac:dyDescent="0.3">
      <c r="A675">
        <v>674</v>
      </c>
      <c r="B675" s="1">
        <v>45125</v>
      </c>
      <c r="C675" s="1" t="str">
        <f>TEXT(RetailStore[[#This Row],[Date]],"mmm")</f>
        <v>Jul</v>
      </c>
      <c r="D675">
        <v>2023</v>
      </c>
      <c r="E675" t="s">
        <v>688</v>
      </c>
      <c r="F675" t="s">
        <v>18</v>
      </c>
      <c r="G675">
        <v>53</v>
      </c>
      <c r="H675" t="s">
        <v>20</v>
      </c>
      <c r="I675">
        <v>3</v>
      </c>
      <c r="J675">
        <v>291</v>
      </c>
      <c r="K675">
        <v>873</v>
      </c>
      <c r="L6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76" spans="1:12" x14ac:dyDescent="0.3">
      <c r="A676">
        <v>675</v>
      </c>
      <c r="B676" s="1">
        <v>45161</v>
      </c>
      <c r="C676" s="1" t="str">
        <f>TEXT(RetailStore[[#This Row],[Date]],"mmm")</f>
        <v>Aug</v>
      </c>
      <c r="D676">
        <v>2023</v>
      </c>
      <c r="E676" t="s">
        <v>689</v>
      </c>
      <c r="F676" t="s">
        <v>11</v>
      </c>
      <c r="G676">
        <v>62</v>
      </c>
      <c r="H676" t="s">
        <v>12</v>
      </c>
      <c r="I676">
        <v>4</v>
      </c>
      <c r="J676">
        <v>82</v>
      </c>
      <c r="K676">
        <v>328</v>
      </c>
      <c r="L6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77" spans="1:12" x14ac:dyDescent="0.3">
      <c r="A677">
        <v>676</v>
      </c>
      <c r="B677" s="1">
        <v>45139</v>
      </c>
      <c r="C677" s="1" t="str">
        <f>TEXT(RetailStore[[#This Row],[Date]],"mmm")</f>
        <v>Aug</v>
      </c>
      <c r="D677">
        <v>2023</v>
      </c>
      <c r="E677" t="s">
        <v>690</v>
      </c>
      <c r="F677" t="s">
        <v>11</v>
      </c>
      <c r="G677">
        <v>27</v>
      </c>
      <c r="H677" t="s">
        <v>12</v>
      </c>
      <c r="I677">
        <v>1</v>
      </c>
      <c r="J677">
        <v>498</v>
      </c>
      <c r="K677">
        <v>498</v>
      </c>
      <c r="L6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78" spans="1:12" x14ac:dyDescent="0.3">
      <c r="A678">
        <v>677</v>
      </c>
      <c r="B678" s="1">
        <v>44981</v>
      </c>
      <c r="C678" s="1" t="str">
        <f>TEXT(RetailStore[[#This Row],[Date]],"mmm")</f>
        <v>Feb</v>
      </c>
      <c r="D678">
        <v>2023</v>
      </c>
      <c r="E678" t="s">
        <v>691</v>
      </c>
      <c r="F678" t="s">
        <v>11</v>
      </c>
      <c r="G678">
        <v>36</v>
      </c>
      <c r="H678" t="s">
        <v>12</v>
      </c>
      <c r="I678">
        <v>3</v>
      </c>
      <c r="J678">
        <v>474</v>
      </c>
      <c r="K678">
        <v>1422</v>
      </c>
      <c r="L6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79" spans="1:12" x14ac:dyDescent="0.3">
      <c r="A679">
        <v>678</v>
      </c>
      <c r="B679" s="1">
        <v>45137</v>
      </c>
      <c r="C679" s="1" t="str">
        <f>TEXT(RetailStore[[#This Row],[Date]],"mmm")</f>
        <v>Jul</v>
      </c>
      <c r="D679">
        <v>2023</v>
      </c>
      <c r="E679" t="s">
        <v>692</v>
      </c>
      <c r="F679" t="s">
        <v>18</v>
      </c>
      <c r="G679">
        <v>42</v>
      </c>
      <c r="H679" t="s">
        <v>12</v>
      </c>
      <c r="I679">
        <v>4</v>
      </c>
      <c r="J679">
        <v>317</v>
      </c>
      <c r="K679">
        <v>1268</v>
      </c>
      <c r="L6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80" spans="1:12" x14ac:dyDescent="0.3">
      <c r="A680">
        <v>679</v>
      </c>
      <c r="B680" s="1">
        <v>45238</v>
      </c>
      <c r="C680" s="1" t="str">
        <f>TEXT(RetailStore[[#This Row],[Date]],"mmm")</f>
        <v>Nov</v>
      </c>
      <c r="D680">
        <v>2023</v>
      </c>
      <c r="E680" t="s">
        <v>693</v>
      </c>
      <c r="F680" t="s">
        <v>18</v>
      </c>
      <c r="G680">
        <v>20</v>
      </c>
      <c r="H680" t="s">
        <v>15</v>
      </c>
      <c r="I680">
        <v>3</v>
      </c>
      <c r="J680">
        <v>231</v>
      </c>
      <c r="K680">
        <v>693</v>
      </c>
      <c r="L6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81" spans="1:12" x14ac:dyDescent="0.3">
      <c r="A681">
        <v>680</v>
      </c>
      <c r="B681" s="1">
        <v>45000</v>
      </c>
      <c r="C681" s="1" t="str">
        <f>TEXT(RetailStore[[#This Row],[Date]],"mmm")</f>
        <v>Mar</v>
      </c>
      <c r="D681">
        <v>2023</v>
      </c>
      <c r="E681" t="s">
        <v>694</v>
      </c>
      <c r="F681" t="s">
        <v>18</v>
      </c>
      <c r="G681">
        <v>20</v>
      </c>
      <c r="H681" t="s">
        <v>20</v>
      </c>
      <c r="I681">
        <v>3</v>
      </c>
      <c r="J681">
        <v>378</v>
      </c>
      <c r="K681">
        <v>1134</v>
      </c>
      <c r="L6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82" spans="1:12" x14ac:dyDescent="0.3">
      <c r="A682">
        <v>681</v>
      </c>
      <c r="B682" s="1">
        <v>45048</v>
      </c>
      <c r="C682" s="1" t="str">
        <f>TEXT(RetailStore[[#This Row],[Date]],"mmm")</f>
        <v>May</v>
      </c>
      <c r="D682">
        <v>2023</v>
      </c>
      <c r="E682" t="s">
        <v>695</v>
      </c>
      <c r="F682" t="s">
        <v>11</v>
      </c>
      <c r="G682">
        <v>48</v>
      </c>
      <c r="H682" t="s">
        <v>20</v>
      </c>
      <c r="I682">
        <v>3</v>
      </c>
      <c r="J682">
        <v>35</v>
      </c>
      <c r="K682">
        <v>105</v>
      </c>
      <c r="L6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83" spans="1:12" x14ac:dyDescent="0.3">
      <c r="A683">
        <v>682</v>
      </c>
      <c r="B683" s="1">
        <v>45099</v>
      </c>
      <c r="C683" s="1" t="str">
        <f>TEXT(RetailStore[[#This Row],[Date]],"mmm")</f>
        <v>Jun</v>
      </c>
      <c r="D683">
        <v>2023</v>
      </c>
      <c r="E683" t="s">
        <v>696</v>
      </c>
      <c r="F683" t="s">
        <v>18</v>
      </c>
      <c r="G683">
        <v>37</v>
      </c>
      <c r="H683" t="s">
        <v>20</v>
      </c>
      <c r="I683">
        <v>4</v>
      </c>
      <c r="J683">
        <v>464</v>
      </c>
      <c r="K683">
        <v>1856</v>
      </c>
      <c r="L6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84" spans="1:12" x14ac:dyDescent="0.3">
      <c r="A684">
        <v>683</v>
      </c>
      <c r="B684" s="1">
        <v>45283</v>
      </c>
      <c r="C684" s="1" t="str">
        <f>TEXT(RetailStore[[#This Row],[Date]],"mmm")</f>
        <v>Dec</v>
      </c>
      <c r="D684">
        <v>2023</v>
      </c>
      <c r="E684" t="s">
        <v>697</v>
      </c>
      <c r="F684" t="s">
        <v>11</v>
      </c>
      <c r="G684">
        <v>32</v>
      </c>
      <c r="H684" t="s">
        <v>15</v>
      </c>
      <c r="I684">
        <v>3</v>
      </c>
      <c r="J684">
        <v>405</v>
      </c>
      <c r="K684">
        <v>1215</v>
      </c>
      <c r="L6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85" spans="1:12" x14ac:dyDescent="0.3">
      <c r="A685">
        <v>684</v>
      </c>
      <c r="B685" s="1">
        <v>45153</v>
      </c>
      <c r="C685" s="1" t="str">
        <f>TEXT(RetailStore[[#This Row],[Date]],"mmm")</f>
        <v>Aug</v>
      </c>
      <c r="D685">
        <v>2023</v>
      </c>
      <c r="E685" t="s">
        <v>698</v>
      </c>
      <c r="F685" t="s">
        <v>18</v>
      </c>
      <c r="G685">
        <v>35</v>
      </c>
      <c r="H685" t="s">
        <v>12</v>
      </c>
      <c r="I685">
        <v>4</v>
      </c>
      <c r="J685">
        <v>334</v>
      </c>
      <c r="K685">
        <v>1336</v>
      </c>
      <c r="L6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86" spans="1:12" x14ac:dyDescent="0.3">
      <c r="A686">
        <v>685</v>
      </c>
      <c r="B686" s="1">
        <v>45257</v>
      </c>
      <c r="C686" s="1" t="str">
        <f>TEXT(RetailStore[[#This Row],[Date]],"mmm")</f>
        <v>Nov</v>
      </c>
      <c r="D686">
        <v>2023</v>
      </c>
      <c r="E686" t="s">
        <v>699</v>
      </c>
      <c r="F686" t="s">
        <v>11</v>
      </c>
      <c r="G686">
        <v>30</v>
      </c>
      <c r="H686" t="s">
        <v>20</v>
      </c>
      <c r="I686">
        <v>2</v>
      </c>
      <c r="J686">
        <v>492</v>
      </c>
      <c r="K686">
        <v>984</v>
      </c>
      <c r="L6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87" spans="1:12" x14ac:dyDescent="0.3">
      <c r="A687">
        <v>686</v>
      </c>
      <c r="B687" s="1">
        <v>45135</v>
      </c>
      <c r="C687" s="1" t="str">
        <f>TEXT(RetailStore[[#This Row],[Date]],"mmm")</f>
        <v>Jul</v>
      </c>
      <c r="D687">
        <v>2023</v>
      </c>
      <c r="E687" t="s">
        <v>700</v>
      </c>
      <c r="F687" t="s">
        <v>18</v>
      </c>
      <c r="G687">
        <v>51</v>
      </c>
      <c r="H687" t="s">
        <v>20</v>
      </c>
      <c r="I687">
        <v>1</v>
      </c>
      <c r="J687">
        <v>288</v>
      </c>
      <c r="K687">
        <v>288</v>
      </c>
      <c r="L6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88" spans="1:12" x14ac:dyDescent="0.3">
      <c r="A688">
        <v>687</v>
      </c>
      <c r="B688" s="1">
        <v>45008</v>
      </c>
      <c r="C688" s="1" t="str">
        <f>TEXT(RetailStore[[#This Row],[Date]],"mmm")</f>
        <v>Mar</v>
      </c>
      <c r="D688">
        <v>2023</v>
      </c>
      <c r="E688" t="s">
        <v>701</v>
      </c>
      <c r="F688" t="s">
        <v>11</v>
      </c>
      <c r="G688">
        <v>37</v>
      </c>
      <c r="H688" t="s">
        <v>12</v>
      </c>
      <c r="I688">
        <v>4</v>
      </c>
      <c r="J688">
        <v>94</v>
      </c>
      <c r="K688">
        <v>376</v>
      </c>
      <c r="L6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89" spans="1:12" x14ac:dyDescent="0.3">
      <c r="A689">
        <v>688</v>
      </c>
      <c r="B689" s="1">
        <v>45195</v>
      </c>
      <c r="C689" s="1" t="str">
        <f>TEXT(RetailStore[[#This Row],[Date]],"mmm")</f>
        <v>Sep</v>
      </c>
      <c r="D689">
        <v>2023</v>
      </c>
      <c r="E689" t="s">
        <v>702</v>
      </c>
      <c r="F689" t="s">
        <v>11</v>
      </c>
      <c r="G689">
        <v>29</v>
      </c>
      <c r="H689" t="s">
        <v>15</v>
      </c>
      <c r="I689">
        <v>2</v>
      </c>
      <c r="J689">
        <v>453</v>
      </c>
      <c r="K689">
        <v>906</v>
      </c>
      <c r="L6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90" spans="1:12" x14ac:dyDescent="0.3">
      <c r="A690">
        <v>689</v>
      </c>
      <c r="B690" s="1">
        <v>44956</v>
      </c>
      <c r="C690" s="1" t="str">
        <f>TEXT(RetailStore[[#This Row],[Date]],"mmm")</f>
        <v>Jan</v>
      </c>
      <c r="D690">
        <v>2023</v>
      </c>
      <c r="E690" t="s">
        <v>703</v>
      </c>
      <c r="F690" t="s">
        <v>11</v>
      </c>
      <c r="G690">
        <v>20</v>
      </c>
      <c r="H690" t="s">
        <v>20</v>
      </c>
      <c r="I690">
        <v>1</v>
      </c>
      <c r="J690">
        <v>495</v>
      </c>
      <c r="K690">
        <v>495</v>
      </c>
      <c r="L6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691" spans="1:12" x14ac:dyDescent="0.3">
      <c r="A691">
        <v>690</v>
      </c>
      <c r="B691" s="1">
        <v>45111</v>
      </c>
      <c r="C691" s="1" t="str">
        <f>TEXT(RetailStore[[#This Row],[Date]],"mmm")</f>
        <v>Jul</v>
      </c>
      <c r="D691">
        <v>2023</v>
      </c>
      <c r="E691" t="s">
        <v>704</v>
      </c>
      <c r="F691" t="s">
        <v>11</v>
      </c>
      <c r="G691">
        <v>35</v>
      </c>
      <c r="H691" t="s">
        <v>20</v>
      </c>
      <c r="I691">
        <v>4</v>
      </c>
      <c r="J691">
        <v>283</v>
      </c>
      <c r="K691">
        <v>1132</v>
      </c>
      <c r="L6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92" spans="1:12" x14ac:dyDescent="0.3">
      <c r="A692">
        <v>691</v>
      </c>
      <c r="B692" s="1">
        <v>45130</v>
      </c>
      <c r="C692" s="1" t="str">
        <f>TEXT(RetailStore[[#This Row],[Date]],"mmm")</f>
        <v>Jul</v>
      </c>
      <c r="D692">
        <v>2023</v>
      </c>
      <c r="E692" t="s">
        <v>705</v>
      </c>
      <c r="F692" t="s">
        <v>11</v>
      </c>
      <c r="G692">
        <v>61</v>
      </c>
      <c r="H692" t="s">
        <v>15</v>
      </c>
      <c r="I692">
        <v>2</v>
      </c>
      <c r="J692">
        <v>215</v>
      </c>
      <c r="K692">
        <v>430</v>
      </c>
      <c r="L6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93" spans="1:12" x14ac:dyDescent="0.3">
      <c r="A693">
        <v>692</v>
      </c>
      <c r="B693" s="1">
        <v>45177</v>
      </c>
      <c r="C693" s="1" t="str">
        <f>TEXT(RetailStore[[#This Row],[Date]],"mmm")</f>
        <v>Sep</v>
      </c>
      <c r="D693">
        <v>2023</v>
      </c>
      <c r="E693" t="s">
        <v>706</v>
      </c>
      <c r="F693" t="s">
        <v>18</v>
      </c>
      <c r="G693">
        <v>29</v>
      </c>
      <c r="H693" t="s">
        <v>20</v>
      </c>
      <c r="I693">
        <v>3</v>
      </c>
      <c r="J693">
        <v>201</v>
      </c>
      <c r="K693">
        <v>603</v>
      </c>
      <c r="L6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94" spans="1:12" x14ac:dyDescent="0.3">
      <c r="A694">
        <v>693</v>
      </c>
      <c r="B694" s="1">
        <v>45010</v>
      </c>
      <c r="C694" s="1" t="str">
        <f>TEXT(RetailStore[[#This Row],[Date]],"mmm")</f>
        <v>Mar</v>
      </c>
      <c r="D694">
        <v>2023</v>
      </c>
      <c r="E694" t="s">
        <v>707</v>
      </c>
      <c r="F694" t="s">
        <v>18</v>
      </c>
      <c r="G694">
        <v>62</v>
      </c>
      <c r="H694" t="s">
        <v>15</v>
      </c>
      <c r="I694">
        <v>3</v>
      </c>
      <c r="J694">
        <v>39</v>
      </c>
      <c r="K694">
        <v>117</v>
      </c>
      <c r="L6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95" spans="1:12" x14ac:dyDescent="0.3">
      <c r="A695">
        <v>694</v>
      </c>
      <c r="B695" s="1">
        <v>45124</v>
      </c>
      <c r="C695" s="1" t="str">
        <f>TEXT(RetailStore[[#This Row],[Date]],"mmm")</f>
        <v>Jul</v>
      </c>
      <c r="D695">
        <v>2023</v>
      </c>
      <c r="E695" t="s">
        <v>708</v>
      </c>
      <c r="F695" t="s">
        <v>11</v>
      </c>
      <c r="G695">
        <v>28</v>
      </c>
      <c r="H695" t="s">
        <v>12</v>
      </c>
      <c r="I695">
        <v>2</v>
      </c>
      <c r="J695">
        <v>463</v>
      </c>
      <c r="K695">
        <v>926</v>
      </c>
      <c r="L6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96" spans="1:12" x14ac:dyDescent="0.3">
      <c r="A696">
        <v>695</v>
      </c>
      <c r="B696" s="1">
        <v>45040</v>
      </c>
      <c r="C696" s="1" t="str">
        <f>TEXT(RetailStore[[#This Row],[Date]],"mmm")</f>
        <v>Apr</v>
      </c>
      <c r="D696">
        <v>2023</v>
      </c>
      <c r="E696" t="s">
        <v>709</v>
      </c>
      <c r="F696" t="s">
        <v>11</v>
      </c>
      <c r="G696">
        <v>61</v>
      </c>
      <c r="H696" t="s">
        <v>15</v>
      </c>
      <c r="I696">
        <v>3</v>
      </c>
      <c r="J696">
        <v>358</v>
      </c>
      <c r="K696">
        <v>1074</v>
      </c>
      <c r="L6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97" spans="1:12" x14ac:dyDescent="0.3">
      <c r="A697">
        <v>696</v>
      </c>
      <c r="B697" s="1">
        <v>45136</v>
      </c>
      <c r="C697" s="1" t="str">
        <f>TEXT(RetailStore[[#This Row],[Date]],"mmm")</f>
        <v>Jul</v>
      </c>
      <c r="D697">
        <v>2023</v>
      </c>
      <c r="E697" t="s">
        <v>710</v>
      </c>
      <c r="F697" t="s">
        <v>11</v>
      </c>
      <c r="G697">
        <v>61</v>
      </c>
      <c r="H697" t="s">
        <v>15</v>
      </c>
      <c r="I697">
        <v>4</v>
      </c>
      <c r="J697">
        <v>491</v>
      </c>
      <c r="K697">
        <v>1964</v>
      </c>
      <c r="L6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698" spans="1:12" x14ac:dyDescent="0.3">
      <c r="A698">
        <v>697</v>
      </c>
      <c r="B698" s="1">
        <v>44994</v>
      </c>
      <c r="C698" s="1" t="str">
        <f>TEXT(RetailStore[[#This Row],[Date]],"mmm")</f>
        <v>Mar</v>
      </c>
      <c r="D698">
        <v>2023</v>
      </c>
      <c r="E698" t="s">
        <v>711</v>
      </c>
      <c r="F698" t="s">
        <v>11</v>
      </c>
      <c r="G698">
        <v>56</v>
      </c>
      <c r="H698" t="s">
        <v>15</v>
      </c>
      <c r="I698">
        <v>2</v>
      </c>
      <c r="J698">
        <v>154</v>
      </c>
      <c r="K698">
        <v>308</v>
      </c>
      <c r="L6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699" spans="1:12" x14ac:dyDescent="0.3">
      <c r="A699">
        <v>698</v>
      </c>
      <c r="B699" s="1">
        <v>45238</v>
      </c>
      <c r="C699" s="1" t="str">
        <f>TEXT(RetailStore[[#This Row],[Date]],"mmm")</f>
        <v>Nov</v>
      </c>
      <c r="D699">
        <v>2023</v>
      </c>
      <c r="E699" t="s">
        <v>712</v>
      </c>
      <c r="F699" t="s">
        <v>18</v>
      </c>
      <c r="G699">
        <v>63</v>
      </c>
      <c r="H699" t="s">
        <v>12</v>
      </c>
      <c r="I699">
        <v>3</v>
      </c>
      <c r="J699">
        <v>241</v>
      </c>
      <c r="K699">
        <v>723</v>
      </c>
      <c r="L6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00" spans="1:12" x14ac:dyDescent="0.3">
      <c r="A700">
        <v>699</v>
      </c>
      <c r="B700" s="1">
        <v>45119</v>
      </c>
      <c r="C700" s="1" t="str">
        <f>TEXT(RetailStore[[#This Row],[Date]],"mmm")</f>
        <v>Jul</v>
      </c>
      <c r="D700">
        <v>2023</v>
      </c>
      <c r="E700" t="s">
        <v>713</v>
      </c>
      <c r="F700" t="s">
        <v>18</v>
      </c>
      <c r="G700">
        <v>47</v>
      </c>
      <c r="H700" t="s">
        <v>20</v>
      </c>
      <c r="I700">
        <v>2</v>
      </c>
      <c r="J700">
        <v>263</v>
      </c>
      <c r="K700">
        <v>526</v>
      </c>
      <c r="L7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01" spans="1:12" x14ac:dyDescent="0.3">
      <c r="A701">
        <v>700</v>
      </c>
      <c r="B701" s="1">
        <v>45081</v>
      </c>
      <c r="C701" s="1" t="str">
        <f>TEXT(RetailStore[[#This Row],[Date]],"mmm")</f>
        <v>Jun</v>
      </c>
      <c r="D701">
        <v>2023</v>
      </c>
      <c r="E701" t="s">
        <v>714</v>
      </c>
      <c r="F701" t="s">
        <v>18</v>
      </c>
      <c r="G701">
        <v>55</v>
      </c>
      <c r="H701" t="s">
        <v>15</v>
      </c>
      <c r="I701">
        <v>1</v>
      </c>
      <c r="J701">
        <v>286</v>
      </c>
      <c r="K701">
        <v>286</v>
      </c>
      <c r="L7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02" spans="1:12" x14ac:dyDescent="0.3">
      <c r="A702">
        <v>701</v>
      </c>
      <c r="B702" s="1">
        <v>45266</v>
      </c>
      <c r="C702" s="1" t="str">
        <f>TEXT(RetailStore[[#This Row],[Date]],"mmm")</f>
        <v>Dec</v>
      </c>
      <c r="D702">
        <v>2023</v>
      </c>
      <c r="E702" t="s">
        <v>715</v>
      </c>
      <c r="F702" t="s">
        <v>18</v>
      </c>
      <c r="G702">
        <v>53</v>
      </c>
      <c r="H702" t="s">
        <v>12</v>
      </c>
      <c r="I702">
        <v>3</v>
      </c>
      <c r="J702">
        <v>177</v>
      </c>
      <c r="K702">
        <v>531</v>
      </c>
      <c r="L7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03" spans="1:12" x14ac:dyDescent="0.3">
      <c r="A703">
        <v>702</v>
      </c>
      <c r="B703" s="1">
        <v>45277</v>
      </c>
      <c r="C703" s="1" t="str">
        <f>TEXT(RetailStore[[#This Row],[Date]],"mmm")</f>
        <v>Dec</v>
      </c>
      <c r="D703">
        <v>2023</v>
      </c>
      <c r="E703" t="s">
        <v>716</v>
      </c>
      <c r="F703" t="s">
        <v>11</v>
      </c>
      <c r="G703">
        <v>48</v>
      </c>
      <c r="H703" t="s">
        <v>15</v>
      </c>
      <c r="I703">
        <v>3</v>
      </c>
      <c r="J703">
        <v>166</v>
      </c>
      <c r="K703">
        <v>498</v>
      </c>
      <c r="L7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04" spans="1:12" x14ac:dyDescent="0.3">
      <c r="A704">
        <v>703</v>
      </c>
      <c r="B704" s="1">
        <v>45254</v>
      </c>
      <c r="C704" s="1" t="str">
        <f>TEXT(RetailStore[[#This Row],[Date]],"mmm")</f>
        <v>Nov</v>
      </c>
      <c r="D704">
        <v>2023</v>
      </c>
      <c r="E704" t="s">
        <v>717</v>
      </c>
      <c r="F704" t="s">
        <v>18</v>
      </c>
      <c r="G704">
        <v>35</v>
      </c>
      <c r="H704" t="s">
        <v>20</v>
      </c>
      <c r="I704">
        <v>3</v>
      </c>
      <c r="J704">
        <v>121</v>
      </c>
      <c r="K704">
        <v>363</v>
      </c>
      <c r="L7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05" spans="1:12" x14ac:dyDescent="0.3">
      <c r="A705">
        <v>704</v>
      </c>
      <c r="B705" s="1">
        <v>45003</v>
      </c>
      <c r="C705" s="1" t="str">
        <f>TEXT(RetailStore[[#This Row],[Date]],"mmm")</f>
        <v>Mar</v>
      </c>
      <c r="D705">
        <v>2023</v>
      </c>
      <c r="E705" t="s">
        <v>718</v>
      </c>
      <c r="F705" t="s">
        <v>11</v>
      </c>
      <c r="G705">
        <v>21</v>
      </c>
      <c r="H705" t="s">
        <v>12</v>
      </c>
      <c r="I705">
        <v>4</v>
      </c>
      <c r="J705">
        <v>363</v>
      </c>
      <c r="K705">
        <v>1452</v>
      </c>
      <c r="L7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06" spans="1:12" x14ac:dyDescent="0.3">
      <c r="A706">
        <v>705</v>
      </c>
      <c r="B706" s="1">
        <v>45090</v>
      </c>
      <c r="C706" s="1" t="str">
        <f>TEXT(RetailStore[[#This Row],[Date]],"mmm")</f>
        <v>Jun</v>
      </c>
      <c r="D706">
        <v>2023</v>
      </c>
      <c r="E706" t="s">
        <v>719</v>
      </c>
      <c r="F706" t="s">
        <v>11</v>
      </c>
      <c r="G706">
        <v>64</v>
      </c>
      <c r="H706" t="s">
        <v>15</v>
      </c>
      <c r="I706">
        <v>4</v>
      </c>
      <c r="J706">
        <v>176</v>
      </c>
      <c r="K706">
        <v>704</v>
      </c>
      <c r="L7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07" spans="1:12" x14ac:dyDescent="0.3">
      <c r="A707">
        <v>706</v>
      </c>
      <c r="B707" s="1">
        <v>45059</v>
      </c>
      <c r="C707" s="1" t="str">
        <f>TEXT(RetailStore[[#This Row],[Date]],"mmm")</f>
        <v>May</v>
      </c>
      <c r="D707">
        <v>2023</v>
      </c>
      <c r="E707" t="s">
        <v>720</v>
      </c>
      <c r="F707" t="s">
        <v>18</v>
      </c>
      <c r="G707">
        <v>43</v>
      </c>
      <c r="H707" t="s">
        <v>20</v>
      </c>
      <c r="I707">
        <v>1</v>
      </c>
      <c r="J707">
        <v>323</v>
      </c>
      <c r="K707">
        <v>323</v>
      </c>
      <c r="L7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08" spans="1:12" x14ac:dyDescent="0.3">
      <c r="A708">
        <v>707</v>
      </c>
      <c r="B708" s="1">
        <v>45289</v>
      </c>
      <c r="C708" s="1" t="str">
        <f>TEXT(RetailStore[[#This Row],[Date]],"mmm")</f>
        <v>Dec</v>
      </c>
      <c r="D708">
        <v>2023</v>
      </c>
      <c r="E708" t="s">
        <v>721</v>
      </c>
      <c r="F708" t="s">
        <v>11</v>
      </c>
      <c r="G708">
        <v>39</v>
      </c>
      <c r="H708" t="s">
        <v>12</v>
      </c>
      <c r="I708">
        <v>2</v>
      </c>
      <c r="J708">
        <v>376</v>
      </c>
      <c r="K708">
        <v>752</v>
      </c>
      <c r="L7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09" spans="1:12" x14ac:dyDescent="0.3">
      <c r="A709">
        <v>708</v>
      </c>
      <c r="B709" s="1">
        <v>45200</v>
      </c>
      <c r="C709" s="1" t="str">
        <f>TEXT(RetailStore[[#This Row],[Date]],"mmm")</f>
        <v>Oct</v>
      </c>
      <c r="D709">
        <v>2023</v>
      </c>
      <c r="E709" t="s">
        <v>722</v>
      </c>
      <c r="F709" t="s">
        <v>18</v>
      </c>
      <c r="G709">
        <v>60</v>
      </c>
      <c r="H709" t="s">
        <v>20</v>
      </c>
      <c r="I709">
        <v>3</v>
      </c>
      <c r="J709">
        <v>457</v>
      </c>
      <c r="K709">
        <v>1371</v>
      </c>
      <c r="L7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10" spans="1:12" x14ac:dyDescent="0.3">
      <c r="A710">
        <v>709</v>
      </c>
      <c r="B710" s="1">
        <v>45014</v>
      </c>
      <c r="C710" s="1" t="str">
        <f>TEXT(RetailStore[[#This Row],[Date]],"mmm")</f>
        <v>Mar</v>
      </c>
      <c r="D710">
        <v>2023</v>
      </c>
      <c r="E710" t="s">
        <v>723</v>
      </c>
      <c r="F710" t="s">
        <v>11</v>
      </c>
      <c r="G710">
        <v>36</v>
      </c>
      <c r="H710" t="s">
        <v>15</v>
      </c>
      <c r="I710">
        <v>4</v>
      </c>
      <c r="J710">
        <v>90</v>
      </c>
      <c r="K710">
        <v>360</v>
      </c>
      <c r="L7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11" spans="1:12" x14ac:dyDescent="0.3">
      <c r="A711">
        <v>710</v>
      </c>
      <c r="B711" s="1">
        <v>45059</v>
      </c>
      <c r="C711" s="1" t="str">
        <f>TEXT(RetailStore[[#This Row],[Date]],"mmm")</f>
        <v>May</v>
      </c>
      <c r="D711">
        <v>2023</v>
      </c>
      <c r="E711" t="s">
        <v>724</v>
      </c>
      <c r="F711" t="s">
        <v>11</v>
      </c>
      <c r="G711">
        <v>61</v>
      </c>
      <c r="H711" t="s">
        <v>20</v>
      </c>
      <c r="I711">
        <v>1</v>
      </c>
      <c r="J711">
        <v>138</v>
      </c>
      <c r="K711">
        <v>138</v>
      </c>
      <c r="L7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12" spans="1:12" x14ac:dyDescent="0.3">
      <c r="A712">
        <v>711</v>
      </c>
      <c r="B712" s="1">
        <v>45108</v>
      </c>
      <c r="C712" s="1" t="str">
        <f>TEXT(RetailStore[[#This Row],[Date]],"mmm")</f>
        <v>Jul</v>
      </c>
      <c r="D712">
        <v>2023</v>
      </c>
      <c r="E712" t="s">
        <v>725</v>
      </c>
      <c r="F712" t="s">
        <v>11</v>
      </c>
      <c r="G712">
        <v>37</v>
      </c>
      <c r="H712" t="s">
        <v>20</v>
      </c>
      <c r="I712">
        <v>3</v>
      </c>
      <c r="J712">
        <v>215</v>
      </c>
      <c r="K712">
        <v>645</v>
      </c>
      <c r="L7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13" spans="1:12" x14ac:dyDescent="0.3">
      <c r="A713">
        <v>712</v>
      </c>
      <c r="B713" s="1">
        <v>45060</v>
      </c>
      <c r="C713" s="1" t="str">
        <f>TEXT(RetailStore[[#This Row],[Date]],"mmm")</f>
        <v>May</v>
      </c>
      <c r="D713">
        <v>2023</v>
      </c>
      <c r="E713" t="s">
        <v>726</v>
      </c>
      <c r="F713" t="s">
        <v>18</v>
      </c>
      <c r="G713">
        <v>47</v>
      </c>
      <c r="H713" t="s">
        <v>15</v>
      </c>
      <c r="I713">
        <v>4</v>
      </c>
      <c r="J713">
        <v>52</v>
      </c>
      <c r="K713">
        <v>208</v>
      </c>
      <c r="L7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14" spans="1:12" x14ac:dyDescent="0.3">
      <c r="A714">
        <v>713</v>
      </c>
      <c r="B714" s="1">
        <v>45251</v>
      </c>
      <c r="C714" s="1" t="str">
        <f>TEXT(RetailStore[[#This Row],[Date]],"mmm")</f>
        <v>Nov</v>
      </c>
      <c r="D714">
        <v>2023</v>
      </c>
      <c r="E714" t="s">
        <v>727</v>
      </c>
      <c r="F714" t="s">
        <v>11</v>
      </c>
      <c r="G714">
        <v>48</v>
      </c>
      <c r="H714" t="s">
        <v>15</v>
      </c>
      <c r="I714">
        <v>1</v>
      </c>
      <c r="J714">
        <v>469</v>
      </c>
      <c r="K714">
        <v>469</v>
      </c>
      <c r="L7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15" spans="1:12" x14ac:dyDescent="0.3">
      <c r="A715">
        <v>714</v>
      </c>
      <c r="B715" s="1">
        <v>45275</v>
      </c>
      <c r="C715" s="1" t="str">
        <f>TEXT(RetailStore[[#This Row],[Date]],"mmm")</f>
        <v>Dec</v>
      </c>
      <c r="D715">
        <v>2023</v>
      </c>
      <c r="E715" t="s">
        <v>728</v>
      </c>
      <c r="F715" t="s">
        <v>18</v>
      </c>
      <c r="G715">
        <v>51</v>
      </c>
      <c r="H715" t="s">
        <v>20</v>
      </c>
      <c r="I715">
        <v>4</v>
      </c>
      <c r="J715">
        <v>52</v>
      </c>
      <c r="K715">
        <v>208</v>
      </c>
      <c r="L7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16" spans="1:12" x14ac:dyDescent="0.3">
      <c r="A716">
        <v>715</v>
      </c>
      <c r="B716" s="1">
        <v>45004</v>
      </c>
      <c r="C716" s="1" t="str">
        <f>TEXT(RetailStore[[#This Row],[Date]],"mmm")</f>
        <v>Mar</v>
      </c>
      <c r="D716">
        <v>2023</v>
      </c>
      <c r="E716" t="s">
        <v>729</v>
      </c>
      <c r="F716" t="s">
        <v>11</v>
      </c>
      <c r="G716">
        <v>30</v>
      </c>
      <c r="H716" t="s">
        <v>20</v>
      </c>
      <c r="I716">
        <v>4</v>
      </c>
      <c r="J716">
        <v>316</v>
      </c>
      <c r="K716">
        <v>1264</v>
      </c>
      <c r="L7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17" spans="1:12" x14ac:dyDescent="0.3">
      <c r="A717">
        <v>716</v>
      </c>
      <c r="B717" s="1">
        <v>45161</v>
      </c>
      <c r="C717" s="1" t="str">
        <f>TEXT(RetailStore[[#This Row],[Date]],"mmm")</f>
        <v>Aug</v>
      </c>
      <c r="D717">
        <v>2023</v>
      </c>
      <c r="E717" t="s">
        <v>730</v>
      </c>
      <c r="F717" t="s">
        <v>11</v>
      </c>
      <c r="G717">
        <v>38</v>
      </c>
      <c r="H717" t="s">
        <v>12</v>
      </c>
      <c r="I717">
        <v>2</v>
      </c>
      <c r="J717">
        <v>423</v>
      </c>
      <c r="K717">
        <v>846</v>
      </c>
      <c r="L7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18" spans="1:12" x14ac:dyDescent="0.3">
      <c r="A718">
        <v>717</v>
      </c>
      <c r="B718" s="1">
        <v>44968</v>
      </c>
      <c r="C718" s="1" t="str">
        <f>TEXT(RetailStore[[#This Row],[Date]],"mmm")</f>
        <v>Feb</v>
      </c>
      <c r="D718">
        <v>2023</v>
      </c>
      <c r="E718" t="s">
        <v>731</v>
      </c>
      <c r="F718" t="s">
        <v>18</v>
      </c>
      <c r="G718">
        <v>39</v>
      </c>
      <c r="H718" t="s">
        <v>12</v>
      </c>
      <c r="I718">
        <v>2</v>
      </c>
      <c r="J718">
        <v>185</v>
      </c>
      <c r="K718">
        <v>370</v>
      </c>
      <c r="L7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19" spans="1:12" x14ac:dyDescent="0.3">
      <c r="A719">
        <v>718</v>
      </c>
      <c r="B719" s="1">
        <v>45251</v>
      </c>
      <c r="C719" s="1" t="str">
        <f>TEXT(RetailStore[[#This Row],[Date]],"mmm")</f>
        <v>Nov</v>
      </c>
      <c r="D719">
        <v>2023</v>
      </c>
      <c r="E719" t="s">
        <v>732</v>
      </c>
      <c r="F719" t="s">
        <v>11</v>
      </c>
      <c r="G719">
        <v>18</v>
      </c>
      <c r="H719" t="s">
        <v>20</v>
      </c>
      <c r="I719">
        <v>3</v>
      </c>
      <c r="J719">
        <v>132</v>
      </c>
      <c r="K719">
        <v>396</v>
      </c>
      <c r="L7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20" spans="1:12" x14ac:dyDescent="0.3">
      <c r="A720">
        <v>719</v>
      </c>
      <c r="B720" s="1">
        <v>45013</v>
      </c>
      <c r="C720" s="1" t="str">
        <f>TEXT(RetailStore[[#This Row],[Date]],"mmm")</f>
        <v>Mar</v>
      </c>
      <c r="D720">
        <v>2023</v>
      </c>
      <c r="E720" t="s">
        <v>733</v>
      </c>
      <c r="F720" t="s">
        <v>11</v>
      </c>
      <c r="G720">
        <v>49</v>
      </c>
      <c r="H720" t="s">
        <v>15</v>
      </c>
      <c r="I720">
        <v>2</v>
      </c>
      <c r="J720">
        <v>339</v>
      </c>
      <c r="K720">
        <v>678</v>
      </c>
      <c r="L7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21" spans="1:12" x14ac:dyDescent="0.3">
      <c r="A721">
        <v>720</v>
      </c>
      <c r="B721" s="1">
        <v>45149</v>
      </c>
      <c r="C721" s="1" t="str">
        <f>TEXT(RetailStore[[#This Row],[Date]],"mmm")</f>
        <v>Aug</v>
      </c>
      <c r="D721">
        <v>2023</v>
      </c>
      <c r="E721" t="s">
        <v>734</v>
      </c>
      <c r="F721" t="s">
        <v>18</v>
      </c>
      <c r="G721">
        <v>43</v>
      </c>
      <c r="H721" t="s">
        <v>20</v>
      </c>
      <c r="I721">
        <v>4</v>
      </c>
      <c r="J721">
        <v>221</v>
      </c>
      <c r="K721">
        <v>884</v>
      </c>
      <c r="L7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22" spans="1:12" x14ac:dyDescent="0.3">
      <c r="A722">
        <v>721</v>
      </c>
      <c r="B722" s="1">
        <v>44929</v>
      </c>
      <c r="C722" s="1" t="str">
        <f>TEXT(RetailStore[[#This Row],[Date]],"mmm")</f>
        <v>Jan</v>
      </c>
      <c r="D722">
        <v>2023</v>
      </c>
      <c r="E722" t="s">
        <v>735</v>
      </c>
      <c r="F722" t="s">
        <v>11</v>
      </c>
      <c r="G722">
        <v>52</v>
      </c>
      <c r="H722" t="s">
        <v>15</v>
      </c>
      <c r="I722">
        <v>3</v>
      </c>
      <c r="J722">
        <v>32</v>
      </c>
      <c r="K722">
        <v>96</v>
      </c>
      <c r="L7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23" spans="1:12" x14ac:dyDescent="0.3">
      <c r="A723">
        <v>722</v>
      </c>
      <c r="B723" s="1">
        <v>45091</v>
      </c>
      <c r="C723" s="1" t="str">
        <f>TEXT(RetailStore[[#This Row],[Date]],"mmm")</f>
        <v>Jun</v>
      </c>
      <c r="D723">
        <v>2023</v>
      </c>
      <c r="E723" t="s">
        <v>736</v>
      </c>
      <c r="F723" t="s">
        <v>11</v>
      </c>
      <c r="G723">
        <v>19</v>
      </c>
      <c r="H723" t="s">
        <v>12</v>
      </c>
      <c r="I723">
        <v>1</v>
      </c>
      <c r="J723">
        <v>345</v>
      </c>
      <c r="K723">
        <v>345</v>
      </c>
      <c r="L7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24" spans="1:12" x14ac:dyDescent="0.3">
      <c r="A724">
        <v>723</v>
      </c>
      <c r="B724" s="1">
        <v>45054</v>
      </c>
      <c r="C724" s="1" t="str">
        <f>TEXT(RetailStore[[#This Row],[Date]],"mmm")</f>
        <v>May</v>
      </c>
      <c r="D724">
        <v>2023</v>
      </c>
      <c r="E724" t="s">
        <v>737</v>
      </c>
      <c r="F724" t="s">
        <v>11</v>
      </c>
      <c r="G724">
        <v>62</v>
      </c>
      <c r="H724" t="s">
        <v>20</v>
      </c>
      <c r="I724">
        <v>3</v>
      </c>
      <c r="J724">
        <v>91</v>
      </c>
      <c r="K724">
        <v>273</v>
      </c>
      <c r="L7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25" spans="1:12" x14ac:dyDescent="0.3">
      <c r="A725">
        <v>724</v>
      </c>
      <c r="B725" s="1">
        <v>44979</v>
      </c>
      <c r="C725" s="1" t="str">
        <f>TEXT(RetailStore[[#This Row],[Date]],"mmm")</f>
        <v>Feb</v>
      </c>
      <c r="D725">
        <v>2023</v>
      </c>
      <c r="E725" t="s">
        <v>738</v>
      </c>
      <c r="F725" t="s">
        <v>18</v>
      </c>
      <c r="G725">
        <v>50</v>
      </c>
      <c r="H725" t="s">
        <v>12</v>
      </c>
      <c r="I725">
        <v>3</v>
      </c>
      <c r="J725">
        <v>110</v>
      </c>
      <c r="K725">
        <v>330</v>
      </c>
      <c r="L7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26" spans="1:12" x14ac:dyDescent="0.3">
      <c r="A726">
        <v>725</v>
      </c>
      <c r="B726" s="1">
        <v>44960</v>
      </c>
      <c r="C726" s="1" t="str">
        <f>TEXT(RetailStore[[#This Row],[Date]],"mmm")</f>
        <v>Feb</v>
      </c>
      <c r="D726">
        <v>2023</v>
      </c>
      <c r="E726" t="s">
        <v>739</v>
      </c>
      <c r="F726" t="s">
        <v>11</v>
      </c>
      <c r="G726">
        <v>37</v>
      </c>
      <c r="H726" t="s">
        <v>20</v>
      </c>
      <c r="I726">
        <v>4</v>
      </c>
      <c r="J726">
        <v>397</v>
      </c>
      <c r="K726">
        <v>1588</v>
      </c>
      <c r="L7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27" spans="1:12" x14ac:dyDescent="0.3">
      <c r="A727">
        <v>726</v>
      </c>
      <c r="B727" s="1">
        <v>45193</v>
      </c>
      <c r="C727" s="1" t="str">
        <f>TEXT(RetailStore[[#This Row],[Date]],"mmm")</f>
        <v>Sep</v>
      </c>
      <c r="D727">
        <v>2023</v>
      </c>
      <c r="E727" t="s">
        <v>740</v>
      </c>
      <c r="F727" t="s">
        <v>18</v>
      </c>
      <c r="G727">
        <v>45</v>
      </c>
      <c r="H727" t="s">
        <v>12</v>
      </c>
      <c r="I727">
        <v>2</v>
      </c>
      <c r="J727">
        <v>200</v>
      </c>
      <c r="K727">
        <v>400</v>
      </c>
      <c r="L7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28" spans="1:12" x14ac:dyDescent="0.3">
      <c r="A728">
        <v>727</v>
      </c>
      <c r="B728" s="1">
        <v>45177</v>
      </c>
      <c r="C728" s="1" t="str">
        <f>TEXT(RetailStore[[#This Row],[Date]],"mmm")</f>
        <v>Sep</v>
      </c>
      <c r="D728">
        <v>2023</v>
      </c>
      <c r="E728" t="s">
        <v>741</v>
      </c>
      <c r="F728" t="s">
        <v>18</v>
      </c>
      <c r="G728">
        <v>30</v>
      </c>
      <c r="H728" t="s">
        <v>15</v>
      </c>
      <c r="I728">
        <v>4</v>
      </c>
      <c r="J728">
        <v>34</v>
      </c>
      <c r="K728">
        <v>136</v>
      </c>
      <c r="L7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29" spans="1:12" x14ac:dyDescent="0.3">
      <c r="A729">
        <v>728</v>
      </c>
      <c r="B729" s="1">
        <v>45043</v>
      </c>
      <c r="C729" s="1" t="str">
        <f>TEXT(RetailStore[[#This Row],[Date]],"mmm")</f>
        <v>Apr</v>
      </c>
      <c r="D729">
        <v>2023</v>
      </c>
      <c r="E729" t="s">
        <v>742</v>
      </c>
      <c r="F729" t="s">
        <v>11</v>
      </c>
      <c r="G729">
        <v>64</v>
      </c>
      <c r="H729" t="s">
        <v>15</v>
      </c>
      <c r="I729">
        <v>2</v>
      </c>
      <c r="J729">
        <v>400</v>
      </c>
      <c r="K729">
        <v>800</v>
      </c>
      <c r="L7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30" spans="1:12" x14ac:dyDescent="0.3">
      <c r="A730">
        <v>729</v>
      </c>
      <c r="B730" s="1">
        <v>44938</v>
      </c>
      <c r="C730" s="1" t="str">
        <f>TEXT(RetailStore[[#This Row],[Date]],"mmm")</f>
        <v>Jan</v>
      </c>
      <c r="D730">
        <v>2023</v>
      </c>
      <c r="E730" t="s">
        <v>743</v>
      </c>
      <c r="F730" t="s">
        <v>11</v>
      </c>
      <c r="G730">
        <v>25</v>
      </c>
      <c r="H730" t="s">
        <v>20</v>
      </c>
      <c r="I730">
        <v>1</v>
      </c>
      <c r="J730">
        <v>217</v>
      </c>
      <c r="K730">
        <v>217</v>
      </c>
      <c r="L7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31" spans="1:12" x14ac:dyDescent="0.3">
      <c r="A731">
        <v>730</v>
      </c>
      <c r="B731" s="1">
        <v>45254</v>
      </c>
      <c r="C731" s="1" t="str">
        <f>TEXT(RetailStore[[#This Row],[Date]],"mmm")</f>
        <v>Nov</v>
      </c>
      <c r="D731">
        <v>2023</v>
      </c>
      <c r="E731" t="s">
        <v>744</v>
      </c>
      <c r="F731" t="s">
        <v>18</v>
      </c>
      <c r="G731">
        <v>52</v>
      </c>
      <c r="H731" t="s">
        <v>12</v>
      </c>
      <c r="I731">
        <v>1</v>
      </c>
      <c r="J731">
        <v>329</v>
      </c>
      <c r="K731">
        <v>329</v>
      </c>
      <c r="L7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32" spans="1:12" x14ac:dyDescent="0.3">
      <c r="A732">
        <v>731</v>
      </c>
      <c r="B732" s="1">
        <v>44951</v>
      </c>
      <c r="C732" s="1" t="str">
        <f>TEXT(RetailStore[[#This Row],[Date]],"mmm")</f>
        <v>Jan</v>
      </c>
      <c r="D732">
        <v>2023</v>
      </c>
      <c r="E732" t="s">
        <v>745</v>
      </c>
      <c r="F732" t="s">
        <v>11</v>
      </c>
      <c r="G732">
        <v>59</v>
      </c>
      <c r="H732" t="s">
        <v>15</v>
      </c>
      <c r="I732">
        <v>1</v>
      </c>
      <c r="J732">
        <v>378</v>
      </c>
      <c r="K732">
        <v>378</v>
      </c>
      <c r="L7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33" spans="1:12" x14ac:dyDescent="0.3">
      <c r="A733">
        <v>732</v>
      </c>
      <c r="B733" s="1">
        <v>44986</v>
      </c>
      <c r="C733" s="1" t="str">
        <f>TEXT(RetailStore[[#This Row],[Date]],"mmm")</f>
        <v>Mar</v>
      </c>
      <c r="D733">
        <v>2023</v>
      </c>
      <c r="E733" t="s">
        <v>746</v>
      </c>
      <c r="F733" t="s">
        <v>18</v>
      </c>
      <c r="G733">
        <v>46</v>
      </c>
      <c r="H733" t="s">
        <v>20</v>
      </c>
      <c r="I733">
        <v>1</v>
      </c>
      <c r="J733">
        <v>305</v>
      </c>
      <c r="K733">
        <v>305</v>
      </c>
      <c r="L7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34" spans="1:12" x14ac:dyDescent="0.3">
      <c r="A734">
        <v>733</v>
      </c>
      <c r="B734" s="1">
        <v>45056</v>
      </c>
      <c r="C734" s="1" t="str">
        <f>TEXT(RetailStore[[#This Row],[Date]],"mmm")</f>
        <v>May</v>
      </c>
      <c r="D734">
        <v>2023</v>
      </c>
      <c r="E734" t="s">
        <v>747</v>
      </c>
      <c r="F734" t="s">
        <v>18</v>
      </c>
      <c r="G734">
        <v>62</v>
      </c>
      <c r="H734" t="s">
        <v>15</v>
      </c>
      <c r="I734">
        <v>2</v>
      </c>
      <c r="J734">
        <v>380</v>
      </c>
      <c r="K734">
        <v>760</v>
      </c>
      <c r="L7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35" spans="1:12" x14ac:dyDescent="0.3">
      <c r="A735">
        <v>734</v>
      </c>
      <c r="B735" s="1">
        <v>45278</v>
      </c>
      <c r="C735" s="1" t="str">
        <f>TEXT(RetailStore[[#This Row],[Date]],"mmm")</f>
        <v>Dec</v>
      </c>
      <c r="D735">
        <v>2023</v>
      </c>
      <c r="E735" t="s">
        <v>748</v>
      </c>
      <c r="F735" t="s">
        <v>11</v>
      </c>
      <c r="G735">
        <v>37</v>
      </c>
      <c r="H735" t="s">
        <v>20</v>
      </c>
      <c r="I735">
        <v>1</v>
      </c>
      <c r="J735">
        <v>364</v>
      </c>
      <c r="K735">
        <v>364</v>
      </c>
      <c r="L7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36" spans="1:12" x14ac:dyDescent="0.3">
      <c r="A736">
        <v>735</v>
      </c>
      <c r="B736" s="1">
        <v>45193</v>
      </c>
      <c r="C736" s="1" t="str">
        <f>TEXT(RetailStore[[#This Row],[Date]],"mmm")</f>
        <v>Sep</v>
      </c>
      <c r="D736">
        <v>2023</v>
      </c>
      <c r="E736" t="s">
        <v>749</v>
      </c>
      <c r="F736" t="s">
        <v>18</v>
      </c>
      <c r="G736">
        <v>57</v>
      </c>
      <c r="H736" t="s">
        <v>12</v>
      </c>
      <c r="I736">
        <v>2</v>
      </c>
      <c r="J736">
        <v>239</v>
      </c>
      <c r="K736">
        <v>478</v>
      </c>
      <c r="L7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37" spans="1:12" x14ac:dyDescent="0.3">
      <c r="A737">
        <v>736</v>
      </c>
      <c r="B737" s="1">
        <v>44980</v>
      </c>
      <c r="C737" s="1" t="str">
        <f>TEXT(RetailStore[[#This Row],[Date]],"mmm")</f>
        <v>Feb</v>
      </c>
      <c r="D737">
        <v>2023</v>
      </c>
      <c r="E737" t="s">
        <v>750</v>
      </c>
      <c r="F737" t="s">
        <v>11</v>
      </c>
      <c r="G737">
        <v>36</v>
      </c>
      <c r="H737" t="s">
        <v>15</v>
      </c>
      <c r="I737">
        <v>1</v>
      </c>
      <c r="J737">
        <v>279</v>
      </c>
      <c r="K737">
        <v>279</v>
      </c>
      <c r="L7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38" spans="1:12" x14ac:dyDescent="0.3">
      <c r="A738">
        <v>737</v>
      </c>
      <c r="B738" s="1">
        <v>45028</v>
      </c>
      <c r="C738" s="1" t="str">
        <f>TEXT(RetailStore[[#This Row],[Date]],"mmm")</f>
        <v>Apr</v>
      </c>
      <c r="D738">
        <v>2023</v>
      </c>
      <c r="E738" t="s">
        <v>751</v>
      </c>
      <c r="F738" t="s">
        <v>11</v>
      </c>
      <c r="G738">
        <v>34</v>
      </c>
      <c r="H738" t="s">
        <v>12</v>
      </c>
      <c r="I738">
        <v>2</v>
      </c>
      <c r="J738">
        <v>208</v>
      </c>
      <c r="K738">
        <v>416</v>
      </c>
      <c r="L7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39" spans="1:12" x14ac:dyDescent="0.3">
      <c r="A739">
        <v>738</v>
      </c>
      <c r="B739" s="1">
        <v>45287</v>
      </c>
      <c r="C739" s="1" t="str">
        <f>TEXT(RetailStore[[#This Row],[Date]],"mmm")</f>
        <v>Dec</v>
      </c>
      <c r="D739">
        <v>2023</v>
      </c>
      <c r="E739" t="s">
        <v>752</v>
      </c>
      <c r="F739" t="s">
        <v>18</v>
      </c>
      <c r="G739">
        <v>36</v>
      </c>
      <c r="H739" t="s">
        <v>15</v>
      </c>
      <c r="I739">
        <v>1</v>
      </c>
      <c r="J739">
        <v>305</v>
      </c>
      <c r="K739">
        <v>305</v>
      </c>
      <c r="L7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40" spans="1:12" x14ac:dyDescent="0.3">
      <c r="A740">
        <v>739</v>
      </c>
      <c r="B740" s="1">
        <v>45181</v>
      </c>
      <c r="C740" s="1" t="str">
        <f>TEXT(RetailStore[[#This Row],[Date]],"mmm")</f>
        <v>Sep</v>
      </c>
      <c r="D740">
        <v>2023</v>
      </c>
      <c r="E740" t="s">
        <v>753</v>
      </c>
      <c r="F740" t="s">
        <v>11</v>
      </c>
      <c r="G740">
        <v>62</v>
      </c>
      <c r="H740" t="s">
        <v>20</v>
      </c>
      <c r="I740">
        <v>3</v>
      </c>
      <c r="J740">
        <v>145</v>
      </c>
      <c r="K740">
        <v>435</v>
      </c>
      <c r="L7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41" spans="1:12" x14ac:dyDescent="0.3">
      <c r="A741">
        <v>740</v>
      </c>
      <c r="B741" s="1">
        <v>44928</v>
      </c>
      <c r="C741" s="1" t="str">
        <f>TEXT(RetailStore[[#This Row],[Date]],"mmm")</f>
        <v>Jan</v>
      </c>
      <c r="D741">
        <v>2023</v>
      </c>
      <c r="E741" t="s">
        <v>754</v>
      </c>
      <c r="F741" t="s">
        <v>11</v>
      </c>
      <c r="G741">
        <v>60</v>
      </c>
      <c r="H741" t="s">
        <v>15</v>
      </c>
      <c r="I741">
        <v>1</v>
      </c>
      <c r="J741">
        <v>452</v>
      </c>
      <c r="K741">
        <v>452</v>
      </c>
      <c r="L7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42" spans="1:12" x14ac:dyDescent="0.3">
      <c r="A742">
        <v>741</v>
      </c>
      <c r="B742" s="1">
        <v>45220</v>
      </c>
      <c r="C742" s="1" t="str">
        <f>TEXT(RetailStore[[#This Row],[Date]],"mmm")</f>
        <v>Oct</v>
      </c>
      <c r="D742">
        <v>2023</v>
      </c>
      <c r="E742" t="s">
        <v>755</v>
      </c>
      <c r="F742" t="s">
        <v>18</v>
      </c>
      <c r="G742">
        <v>27</v>
      </c>
      <c r="H742" t="s">
        <v>15</v>
      </c>
      <c r="I742">
        <v>1</v>
      </c>
      <c r="J742">
        <v>395</v>
      </c>
      <c r="K742">
        <v>395</v>
      </c>
      <c r="L7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43" spans="1:12" x14ac:dyDescent="0.3">
      <c r="A743">
        <v>742</v>
      </c>
      <c r="B743" s="1">
        <v>44978</v>
      </c>
      <c r="C743" s="1" t="str">
        <f>TEXT(RetailStore[[#This Row],[Date]],"mmm")</f>
        <v>Feb</v>
      </c>
      <c r="D743">
        <v>2023</v>
      </c>
      <c r="E743" t="s">
        <v>756</v>
      </c>
      <c r="F743" t="s">
        <v>18</v>
      </c>
      <c r="G743">
        <v>59</v>
      </c>
      <c r="H743" t="s">
        <v>15</v>
      </c>
      <c r="I743">
        <v>4</v>
      </c>
      <c r="J743">
        <v>176</v>
      </c>
      <c r="K743">
        <v>704</v>
      </c>
      <c r="L7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44" spans="1:12" x14ac:dyDescent="0.3">
      <c r="A744">
        <v>743</v>
      </c>
      <c r="B744" s="1">
        <v>45062</v>
      </c>
      <c r="C744" s="1" t="str">
        <f>TEXT(RetailStore[[#This Row],[Date]],"mmm")</f>
        <v>May</v>
      </c>
      <c r="D744">
        <v>2023</v>
      </c>
      <c r="E744" t="s">
        <v>757</v>
      </c>
      <c r="F744" t="s">
        <v>18</v>
      </c>
      <c r="G744">
        <v>21</v>
      </c>
      <c r="H744" t="s">
        <v>15</v>
      </c>
      <c r="I744">
        <v>2</v>
      </c>
      <c r="J744">
        <v>472</v>
      </c>
      <c r="K744">
        <v>944</v>
      </c>
      <c r="L7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45" spans="1:12" x14ac:dyDescent="0.3">
      <c r="A745">
        <v>744</v>
      </c>
      <c r="B745" s="1">
        <v>44947</v>
      </c>
      <c r="C745" s="1" t="str">
        <f>TEXT(RetailStore[[#This Row],[Date]],"mmm")</f>
        <v>Jan</v>
      </c>
      <c r="D745">
        <v>2023</v>
      </c>
      <c r="E745" t="s">
        <v>758</v>
      </c>
      <c r="F745" t="s">
        <v>18</v>
      </c>
      <c r="G745">
        <v>41</v>
      </c>
      <c r="H745" t="s">
        <v>12</v>
      </c>
      <c r="I745">
        <v>3</v>
      </c>
      <c r="J745">
        <v>243</v>
      </c>
      <c r="K745">
        <v>729</v>
      </c>
      <c r="L7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46" spans="1:12" x14ac:dyDescent="0.3">
      <c r="A746">
        <v>745</v>
      </c>
      <c r="B746" s="1">
        <v>44986</v>
      </c>
      <c r="C746" s="1" t="str">
        <f>TEXT(RetailStore[[#This Row],[Date]],"mmm")</f>
        <v>Mar</v>
      </c>
      <c r="D746">
        <v>2023</v>
      </c>
      <c r="E746" t="s">
        <v>759</v>
      </c>
      <c r="F746" t="s">
        <v>11</v>
      </c>
      <c r="G746">
        <v>20</v>
      </c>
      <c r="H746" t="s">
        <v>15</v>
      </c>
      <c r="I746">
        <v>2</v>
      </c>
      <c r="J746">
        <v>364</v>
      </c>
      <c r="K746">
        <v>728</v>
      </c>
      <c r="L7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47" spans="1:12" x14ac:dyDescent="0.3">
      <c r="A747">
        <v>746</v>
      </c>
      <c r="B747" s="1">
        <v>45258</v>
      </c>
      <c r="C747" s="1" t="str">
        <f>TEXT(RetailStore[[#This Row],[Date]],"mmm")</f>
        <v>Nov</v>
      </c>
      <c r="D747">
        <v>2023</v>
      </c>
      <c r="E747" t="s">
        <v>760</v>
      </c>
      <c r="F747" t="s">
        <v>11</v>
      </c>
      <c r="G747">
        <v>39</v>
      </c>
      <c r="H747" t="s">
        <v>20</v>
      </c>
      <c r="I747">
        <v>4</v>
      </c>
      <c r="J747">
        <v>343</v>
      </c>
      <c r="K747">
        <v>1372</v>
      </c>
      <c r="L7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48" spans="1:12" x14ac:dyDescent="0.3">
      <c r="A748">
        <v>747</v>
      </c>
      <c r="B748" s="1">
        <v>45064</v>
      </c>
      <c r="C748" s="1" t="str">
        <f>TEXT(RetailStore[[#This Row],[Date]],"mmm")</f>
        <v>May</v>
      </c>
      <c r="D748">
        <v>2023</v>
      </c>
      <c r="E748" t="s">
        <v>761</v>
      </c>
      <c r="F748" t="s">
        <v>11</v>
      </c>
      <c r="G748">
        <v>41</v>
      </c>
      <c r="H748" t="s">
        <v>20</v>
      </c>
      <c r="I748">
        <v>2</v>
      </c>
      <c r="J748">
        <v>83</v>
      </c>
      <c r="K748">
        <v>166</v>
      </c>
      <c r="L7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49" spans="1:12" x14ac:dyDescent="0.3">
      <c r="A749">
        <v>748</v>
      </c>
      <c r="B749" s="1">
        <v>45132</v>
      </c>
      <c r="C749" s="1" t="str">
        <f>TEXT(RetailStore[[#This Row],[Date]],"mmm")</f>
        <v>Jul</v>
      </c>
      <c r="D749">
        <v>2023</v>
      </c>
      <c r="E749" t="s">
        <v>762</v>
      </c>
      <c r="F749" t="s">
        <v>18</v>
      </c>
      <c r="G749">
        <v>47</v>
      </c>
      <c r="H749" t="s">
        <v>20</v>
      </c>
      <c r="I749">
        <v>4</v>
      </c>
      <c r="J749">
        <v>378</v>
      </c>
      <c r="K749">
        <v>1512</v>
      </c>
      <c r="L7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50" spans="1:12" x14ac:dyDescent="0.3">
      <c r="A750">
        <v>749</v>
      </c>
      <c r="B750" s="1">
        <v>45171</v>
      </c>
      <c r="C750" s="1" t="str">
        <f>TEXT(RetailStore[[#This Row],[Date]],"mmm")</f>
        <v>Sep</v>
      </c>
      <c r="D750">
        <v>2023</v>
      </c>
      <c r="E750" t="s">
        <v>763</v>
      </c>
      <c r="F750" t="s">
        <v>18</v>
      </c>
      <c r="G750">
        <v>59</v>
      </c>
      <c r="H750" t="s">
        <v>15</v>
      </c>
      <c r="I750">
        <v>1</v>
      </c>
      <c r="J750">
        <v>92</v>
      </c>
      <c r="K750">
        <v>92</v>
      </c>
      <c r="L7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51" spans="1:12" x14ac:dyDescent="0.3">
      <c r="A751">
        <v>750</v>
      </c>
      <c r="B751" s="1">
        <v>45283</v>
      </c>
      <c r="C751" s="1" t="str">
        <f>TEXT(RetailStore[[#This Row],[Date]],"mmm")</f>
        <v>Dec</v>
      </c>
      <c r="D751">
        <v>2023</v>
      </c>
      <c r="E751" t="s">
        <v>764</v>
      </c>
      <c r="F751" t="s">
        <v>11</v>
      </c>
      <c r="G751">
        <v>28</v>
      </c>
      <c r="H751" t="s">
        <v>15</v>
      </c>
      <c r="I751">
        <v>4</v>
      </c>
      <c r="J751">
        <v>491</v>
      </c>
      <c r="K751">
        <v>1964</v>
      </c>
      <c r="L7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52" spans="1:12" x14ac:dyDescent="0.3">
      <c r="A752">
        <v>751</v>
      </c>
      <c r="B752" s="1">
        <v>45229</v>
      </c>
      <c r="C752" s="1" t="str">
        <f>TEXT(RetailStore[[#This Row],[Date]],"mmm")</f>
        <v>Oct</v>
      </c>
      <c r="D752">
        <v>2023</v>
      </c>
      <c r="E752" t="s">
        <v>765</v>
      </c>
      <c r="F752" t="s">
        <v>18</v>
      </c>
      <c r="G752">
        <v>54</v>
      </c>
      <c r="H752" t="s">
        <v>12</v>
      </c>
      <c r="I752">
        <v>4</v>
      </c>
      <c r="J752">
        <v>117</v>
      </c>
      <c r="K752">
        <v>468</v>
      </c>
      <c r="L7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53" spans="1:12" x14ac:dyDescent="0.3">
      <c r="A753">
        <v>752</v>
      </c>
      <c r="B753" s="1">
        <v>45239</v>
      </c>
      <c r="C753" s="1" t="str">
        <f>TEXT(RetailStore[[#This Row],[Date]],"mmm")</f>
        <v>Nov</v>
      </c>
      <c r="D753">
        <v>2023</v>
      </c>
      <c r="E753" t="s">
        <v>766</v>
      </c>
      <c r="F753" t="s">
        <v>18</v>
      </c>
      <c r="G753">
        <v>40</v>
      </c>
      <c r="H753" t="s">
        <v>12</v>
      </c>
      <c r="I753">
        <v>1</v>
      </c>
      <c r="J753">
        <v>466</v>
      </c>
      <c r="K753">
        <v>466</v>
      </c>
      <c r="L7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54" spans="1:12" x14ac:dyDescent="0.3">
      <c r="A754">
        <v>753</v>
      </c>
      <c r="B754" s="1">
        <v>45277</v>
      </c>
      <c r="C754" s="1" t="str">
        <f>TEXT(RetailStore[[#This Row],[Date]],"mmm")</f>
        <v>Dec</v>
      </c>
      <c r="D754">
        <v>2023</v>
      </c>
      <c r="E754" t="s">
        <v>767</v>
      </c>
      <c r="F754" t="s">
        <v>11</v>
      </c>
      <c r="G754">
        <v>48</v>
      </c>
      <c r="H754" t="s">
        <v>20</v>
      </c>
      <c r="I754">
        <v>1</v>
      </c>
      <c r="J754">
        <v>479</v>
      </c>
      <c r="K754">
        <v>479</v>
      </c>
      <c r="L7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55" spans="1:12" x14ac:dyDescent="0.3">
      <c r="A755">
        <v>754</v>
      </c>
      <c r="B755" s="1">
        <v>45137</v>
      </c>
      <c r="C755" s="1" t="str">
        <f>TEXT(RetailStore[[#This Row],[Date]],"mmm")</f>
        <v>Jul</v>
      </c>
      <c r="D755">
        <v>2023</v>
      </c>
      <c r="E755" t="s">
        <v>768</v>
      </c>
      <c r="F755" t="s">
        <v>18</v>
      </c>
      <c r="G755">
        <v>20</v>
      </c>
      <c r="H755" t="s">
        <v>15</v>
      </c>
      <c r="I755">
        <v>3</v>
      </c>
      <c r="J755">
        <v>360</v>
      </c>
      <c r="K755">
        <v>1080</v>
      </c>
      <c r="L7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56" spans="1:12" x14ac:dyDescent="0.3">
      <c r="A756">
        <v>755</v>
      </c>
      <c r="B756" s="1">
        <v>45087</v>
      </c>
      <c r="C756" s="1" t="str">
        <f>TEXT(RetailStore[[#This Row],[Date]],"mmm")</f>
        <v>Jun</v>
      </c>
      <c r="D756">
        <v>2023</v>
      </c>
      <c r="E756" t="s">
        <v>769</v>
      </c>
      <c r="F756" t="s">
        <v>11</v>
      </c>
      <c r="G756">
        <v>63</v>
      </c>
      <c r="H756" t="s">
        <v>12</v>
      </c>
      <c r="I756">
        <v>2</v>
      </c>
      <c r="J756">
        <v>367</v>
      </c>
      <c r="K756">
        <v>734</v>
      </c>
      <c r="L7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57" spans="1:12" x14ac:dyDescent="0.3">
      <c r="A757">
        <v>756</v>
      </c>
      <c r="B757" s="1">
        <v>45100</v>
      </c>
      <c r="C757" s="1" t="str">
        <f>TEXT(RetailStore[[#This Row],[Date]],"mmm")</f>
        <v>Jun</v>
      </c>
      <c r="D757">
        <v>2023</v>
      </c>
      <c r="E757" t="s">
        <v>770</v>
      </c>
      <c r="F757" t="s">
        <v>11</v>
      </c>
      <c r="G757">
        <v>45</v>
      </c>
      <c r="H757" t="s">
        <v>12</v>
      </c>
      <c r="I757">
        <v>2</v>
      </c>
      <c r="J757">
        <v>271</v>
      </c>
      <c r="K757">
        <v>542</v>
      </c>
      <c r="L7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58" spans="1:12" x14ac:dyDescent="0.3">
      <c r="A758">
        <v>757</v>
      </c>
      <c r="B758" s="1">
        <v>45104</v>
      </c>
      <c r="C758" s="1" t="str">
        <f>TEXT(RetailStore[[#This Row],[Date]],"mmm")</f>
        <v>Jun</v>
      </c>
      <c r="D758">
        <v>2023</v>
      </c>
      <c r="E758" t="s">
        <v>771</v>
      </c>
      <c r="F758" t="s">
        <v>18</v>
      </c>
      <c r="G758">
        <v>27</v>
      </c>
      <c r="H758" t="s">
        <v>12</v>
      </c>
      <c r="I758">
        <v>1</v>
      </c>
      <c r="J758">
        <v>30</v>
      </c>
      <c r="K758">
        <v>30</v>
      </c>
      <c r="L7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59" spans="1:12" x14ac:dyDescent="0.3">
      <c r="A759">
        <v>758</v>
      </c>
      <c r="B759" s="1">
        <v>45256</v>
      </c>
      <c r="C759" s="1" t="str">
        <f>TEXT(RetailStore[[#This Row],[Date]],"mmm")</f>
        <v>Nov</v>
      </c>
      <c r="D759">
        <v>2023</v>
      </c>
      <c r="E759" t="s">
        <v>772</v>
      </c>
      <c r="F759" t="s">
        <v>11</v>
      </c>
      <c r="G759">
        <v>50</v>
      </c>
      <c r="H759" t="s">
        <v>20</v>
      </c>
      <c r="I759">
        <v>4</v>
      </c>
      <c r="J759">
        <v>470</v>
      </c>
      <c r="K759">
        <v>1880</v>
      </c>
      <c r="L7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60" spans="1:12" x14ac:dyDescent="0.3">
      <c r="A760">
        <v>759</v>
      </c>
      <c r="B760" s="1">
        <v>45011</v>
      </c>
      <c r="C760" s="1" t="str">
        <f>TEXT(RetailStore[[#This Row],[Date]],"mmm")</f>
        <v>Mar</v>
      </c>
      <c r="D760">
        <v>2023</v>
      </c>
      <c r="E760" t="s">
        <v>773</v>
      </c>
      <c r="F760" t="s">
        <v>11</v>
      </c>
      <c r="G760">
        <v>49</v>
      </c>
      <c r="H760" t="s">
        <v>20</v>
      </c>
      <c r="I760">
        <v>2</v>
      </c>
      <c r="J760">
        <v>194</v>
      </c>
      <c r="K760">
        <v>388</v>
      </c>
      <c r="L7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61" spans="1:12" x14ac:dyDescent="0.3">
      <c r="A761">
        <v>760</v>
      </c>
      <c r="B761" s="1">
        <v>45069</v>
      </c>
      <c r="C761" s="1" t="str">
        <f>TEXT(RetailStore[[#This Row],[Date]],"mmm")</f>
        <v>May</v>
      </c>
      <c r="D761">
        <v>2023</v>
      </c>
      <c r="E761" t="s">
        <v>774</v>
      </c>
      <c r="F761" t="s">
        <v>11</v>
      </c>
      <c r="G761">
        <v>50</v>
      </c>
      <c r="H761" t="s">
        <v>15</v>
      </c>
      <c r="I761">
        <v>4</v>
      </c>
      <c r="J761">
        <v>231</v>
      </c>
      <c r="K761">
        <v>924</v>
      </c>
      <c r="L7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62" spans="1:12" x14ac:dyDescent="0.3">
      <c r="A762">
        <v>761</v>
      </c>
      <c r="B762" s="1">
        <v>45047</v>
      </c>
      <c r="C762" s="1" t="str">
        <f>TEXT(RetailStore[[#This Row],[Date]],"mmm")</f>
        <v>May</v>
      </c>
      <c r="D762">
        <v>2023</v>
      </c>
      <c r="E762" t="s">
        <v>775</v>
      </c>
      <c r="F762" t="s">
        <v>11</v>
      </c>
      <c r="G762">
        <v>47</v>
      </c>
      <c r="H762" t="s">
        <v>20</v>
      </c>
      <c r="I762">
        <v>4</v>
      </c>
      <c r="J762">
        <v>70</v>
      </c>
      <c r="K762">
        <v>280</v>
      </c>
      <c r="L7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63" spans="1:12" x14ac:dyDescent="0.3">
      <c r="A763">
        <v>762</v>
      </c>
      <c r="B763" s="1">
        <v>45182</v>
      </c>
      <c r="C763" s="1" t="str">
        <f>TEXT(RetailStore[[#This Row],[Date]],"mmm")</f>
        <v>Sep</v>
      </c>
      <c r="D763">
        <v>2023</v>
      </c>
      <c r="E763" t="s">
        <v>776</v>
      </c>
      <c r="F763" t="s">
        <v>18</v>
      </c>
      <c r="G763">
        <v>38</v>
      </c>
      <c r="H763" t="s">
        <v>15</v>
      </c>
      <c r="I763">
        <v>4</v>
      </c>
      <c r="J763">
        <v>406</v>
      </c>
      <c r="K763">
        <v>1624</v>
      </c>
      <c r="L7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64" spans="1:12" x14ac:dyDescent="0.3">
      <c r="A764">
        <v>763</v>
      </c>
      <c r="B764" s="1">
        <v>45261</v>
      </c>
      <c r="C764" s="1" t="str">
        <f>TEXT(RetailStore[[#This Row],[Date]],"mmm")</f>
        <v>Dec</v>
      </c>
      <c r="D764">
        <v>2023</v>
      </c>
      <c r="E764" t="s">
        <v>777</v>
      </c>
      <c r="F764" t="s">
        <v>11</v>
      </c>
      <c r="G764">
        <v>24</v>
      </c>
      <c r="H764" t="s">
        <v>20</v>
      </c>
      <c r="I764">
        <v>4</v>
      </c>
      <c r="J764">
        <v>43</v>
      </c>
      <c r="K764">
        <v>172</v>
      </c>
      <c r="L7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65" spans="1:12" x14ac:dyDescent="0.3">
      <c r="A765">
        <v>764</v>
      </c>
      <c r="B765" s="1">
        <v>45212</v>
      </c>
      <c r="C765" s="1" t="str">
        <f>TEXT(RetailStore[[#This Row],[Date]],"mmm")</f>
        <v>Oct</v>
      </c>
      <c r="D765">
        <v>2023</v>
      </c>
      <c r="E765" t="s">
        <v>778</v>
      </c>
      <c r="F765" t="s">
        <v>11</v>
      </c>
      <c r="G765">
        <v>23</v>
      </c>
      <c r="H765" t="s">
        <v>12</v>
      </c>
      <c r="I765">
        <v>3</v>
      </c>
      <c r="J765">
        <v>480</v>
      </c>
      <c r="K765">
        <v>1440</v>
      </c>
      <c r="L7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66" spans="1:12" x14ac:dyDescent="0.3">
      <c r="A766">
        <v>765</v>
      </c>
      <c r="B766" s="1">
        <v>45187</v>
      </c>
      <c r="C766" s="1" t="str">
        <f>TEXT(RetailStore[[#This Row],[Date]],"mmm")</f>
        <v>Sep</v>
      </c>
      <c r="D766">
        <v>2023</v>
      </c>
      <c r="E766" t="s">
        <v>779</v>
      </c>
      <c r="F766" t="s">
        <v>11</v>
      </c>
      <c r="G766">
        <v>59</v>
      </c>
      <c r="H766" t="s">
        <v>12</v>
      </c>
      <c r="I766">
        <v>4</v>
      </c>
      <c r="J766">
        <v>199</v>
      </c>
      <c r="K766">
        <v>796</v>
      </c>
      <c r="L7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67" spans="1:12" x14ac:dyDescent="0.3">
      <c r="A767">
        <v>766</v>
      </c>
      <c r="B767" s="1">
        <v>45113</v>
      </c>
      <c r="C767" s="1" t="str">
        <f>TEXT(RetailStore[[#This Row],[Date]],"mmm")</f>
        <v>Jul</v>
      </c>
      <c r="D767">
        <v>2023</v>
      </c>
      <c r="E767" t="s">
        <v>780</v>
      </c>
      <c r="F767" t="s">
        <v>11</v>
      </c>
      <c r="G767">
        <v>32</v>
      </c>
      <c r="H767" t="s">
        <v>20</v>
      </c>
      <c r="I767">
        <v>3</v>
      </c>
      <c r="J767">
        <v>311</v>
      </c>
      <c r="K767">
        <v>933</v>
      </c>
      <c r="L7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68" spans="1:12" x14ac:dyDescent="0.3">
      <c r="A768">
        <v>767</v>
      </c>
      <c r="B768" s="1">
        <v>45244</v>
      </c>
      <c r="C768" s="1" t="str">
        <f>TEXT(RetailStore[[#This Row],[Date]],"mmm")</f>
        <v>Nov</v>
      </c>
      <c r="D768">
        <v>2023</v>
      </c>
      <c r="E768" t="s">
        <v>781</v>
      </c>
      <c r="F768" t="s">
        <v>18</v>
      </c>
      <c r="G768">
        <v>63</v>
      </c>
      <c r="H768" t="s">
        <v>12</v>
      </c>
      <c r="I768">
        <v>3</v>
      </c>
      <c r="J768">
        <v>391</v>
      </c>
      <c r="K768">
        <v>1173</v>
      </c>
      <c r="L7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69" spans="1:12" x14ac:dyDescent="0.3">
      <c r="A769">
        <v>768</v>
      </c>
      <c r="B769" s="1">
        <v>45158</v>
      </c>
      <c r="C769" s="1" t="str">
        <f>TEXT(RetailStore[[#This Row],[Date]],"mmm")</f>
        <v>Aug</v>
      </c>
      <c r="D769">
        <v>2023</v>
      </c>
      <c r="E769" t="s">
        <v>782</v>
      </c>
      <c r="F769" t="s">
        <v>11</v>
      </c>
      <c r="G769">
        <v>24</v>
      </c>
      <c r="H769" t="s">
        <v>12</v>
      </c>
      <c r="I769">
        <v>2</v>
      </c>
      <c r="J769">
        <v>26</v>
      </c>
      <c r="K769">
        <v>52</v>
      </c>
      <c r="L7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70" spans="1:12" x14ac:dyDescent="0.3">
      <c r="A770">
        <v>769</v>
      </c>
      <c r="B770" s="1">
        <v>45101</v>
      </c>
      <c r="C770" s="1" t="str">
        <f>TEXT(RetailStore[[#This Row],[Date]],"mmm")</f>
        <v>Jun</v>
      </c>
      <c r="D770">
        <v>2023</v>
      </c>
      <c r="E770" t="s">
        <v>783</v>
      </c>
      <c r="F770" t="s">
        <v>18</v>
      </c>
      <c r="G770">
        <v>58</v>
      </c>
      <c r="H770" t="s">
        <v>20</v>
      </c>
      <c r="I770">
        <v>3</v>
      </c>
      <c r="J770">
        <v>384</v>
      </c>
      <c r="K770">
        <v>1152</v>
      </c>
      <c r="L7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71" spans="1:12" x14ac:dyDescent="0.3">
      <c r="A771">
        <v>770</v>
      </c>
      <c r="B771" s="1">
        <v>44981</v>
      </c>
      <c r="C771" s="1" t="str">
        <f>TEXT(RetailStore[[#This Row],[Date]],"mmm")</f>
        <v>Feb</v>
      </c>
      <c r="D771">
        <v>2023</v>
      </c>
      <c r="E771" t="s">
        <v>784</v>
      </c>
      <c r="F771" t="s">
        <v>11</v>
      </c>
      <c r="G771">
        <v>28</v>
      </c>
      <c r="H771" t="s">
        <v>20</v>
      </c>
      <c r="I771">
        <v>2</v>
      </c>
      <c r="J771">
        <v>445</v>
      </c>
      <c r="K771">
        <v>890</v>
      </c>
      <c r="L7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72" spans="1:12" x14ac:dyDescent="0.3">
      <c r="A772">
        <v>771</v>
      </c>
      <c r="B772" s="1">
        <v>45136</v>
      </c>
      <c r="C772" s="1" t="str">
        <f>TEXT(RetailStore[[#This Row],[Date]],"mmm")</f>
        <v>Jul</v>
      </c>
      <c r="D772">
        <v>2023</v>
      </c>
      <c r="E772" t="s">
        <v>785</v>
      </c>
      <c r="F772" t="s">
        <v>11</v>
      </c>
      <c r="G772">
        <v>34</v>
      </c>
      <c r="H772" t="s">
        <v>12</v>
      </c>
      <c r="I772">
        <v>2</v>
      </c>
      <c r="J772">
        <v>121</v>
      </c>
      <c r="K772">
        <v>242</v>
      </c>
      <c r="L7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73" spans="1:12" x14ac:dyDescent="0.3">
      <c r="A773">
        <v>772</v>
      </c>
      <c r="B773" s="1">
        <v>44988</v>
      </c>
      <c r="C773" s="1" t="str">
        <f>TEXT(RetailStore[[#This Row],[Date]],"mmm")</f>
        <v>Mar</v>
      </c>
      <c r="D773">
        <v>2023</v>
      </c>
      <c r="E773" t="s">
        <v>786</v>
      </c>
      <c r="F773" t="s">
        <v>18</v>
      </c>
      <c r="G773">
        <v>31</v>
      </c>
      <c r="H773" t="s">
        <v>20</v>
      </c>
      <c r="I773">
        <v>2</v>
      </c>
      <c r="J773">
        <v>391</v>
      </c>
      <c r="K773">
        <v>782</v>
      </c>
      <c r="L7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74" spans="1:12" x14ac:dyDescent="0.3">
      <c r="A774">
        <v>773</v>
      </c>
      <c r="B774" s="1">
        <v>45100</v>
      </c>
      <c r="C774" s="1" t="str">
        <f>TEXT(RetailStore[[#This Row],[Date]],"mmm")</f>
        <v>Jun</v>
      </c>
      <c r="D774">
        <v>2023</v>
      </c>
      <c r="E774" t="s">
        <v>787</v>
      </c>
      <c r="F774" t="s">
        <v>11</v>
      </c>
      <c r="G774">
        <v>44</v>
      </c>
      <c r="H774" t="s">
        <v>15</v>
      </c>
      <c r="I774">
        <v>1</v>
      </c>
      <c r="J774">
        <v>420</v>
      </c>
      <c r="K774">
        <v>420</v>
      </c>
      <c r="L7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75" spans="1:12" x14ac:dyDescent="0.3">
      <c r="A775">
        <v>774</v>
      </c>
      <c r="B775" s="1">
        <v>45157</v>
      </c>
      <c r="C775" s="1" t="str">
        <f>TEXT(RetailStore[[#This Row],[Date]],"mmm")</f>
        <v>Aug</v>
      </c>
      <c r="D775">
        <v>2023</v>
      </c>
      <c r="E775" t="s">
        <v>788</v>
      </c>
      <c r="F775" t="s">
        <v>18</v>
      </c>
      <c r="G775">
        <v>60</v>
      </c>
      <c r="H775" t="s">
        <v>12</v>
      </c>
      <c r="I775">
        <v>2</v>
      </c>
      <c r="J775">
        <v>280</v>
      </c>
      <c r="K775">
        <v>560</v>
      </c>
      <c r="L7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76" spans="1:12" x14ac:dyDescent="0.3">
      <c r="A776">
        <v>775</v>
      </c>
      <c r="B776" s="1">
        <v>44929</v>
      </c>
      <c r="C776" s="1" t="str">
        <f>TEXT(RetailStore[[#This Row],[Date]],"mmm")</f>
        <v>Jan</v>
      </c>
      <c r="D776">
        <v>2023</v>
      </c>
      <c r="E776" t="s">
        <v>789</v>
      </c>
      <c r="F776" t="s">
        <v>11</v>
      </c>
      <c r="G776">
        <v>53</v>
      </c>
      <c r="H776" t="s">
        <v>20</v>
      </c>
      <c r="I776">
        <v>4</v>
      </c>
      <c r="J776">
        <v>498</v>
      </c>
      <c r="K776">
        <v>1992</v>
      </c>
      <c r="L7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77" spans="1:12" x14ac:dyDescent="0.3">
      <c r="A777">
        <v>776</v>
      </c>
      <c r="B777" s="1">
        <v>45187</v>
      </c>
      <c r="C777" s="1" t="str">
        <f>TEXT(RetailStore[[#This Row],[Date]],"mmm")</f>
        <v>Sep</v>
      </c>
      <c r="D777">
        <v>2023</v>
      </c>
      <c r="E777" t="s">
        <v>790</v>
      </c>
      <c r="F777" t="s">
        <v>11</v>
      </c>
      <c r="G777">
        <v>62</v>
      </c>
      <c r="H777" t="s">
        <v>12</v>
      </c>
      <c r="I777">
        <v>2</v>
      </c>
      <c r="J777">
        <v>399</v>
      </c>
      <c r="K777">
        <v>798</v>
      </c>
      <c r="L7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78" spans="1:12" x14ac:dyDescent="0.3">
      <c r="A778">
        <v>777</v>
      </c>
      <c r="B778" s="1">
        <v>44992</v>
      </c>
      <c r="C778" s="1" t="str">
        <f>TEXT(RetailStore[[#This Row],[Date]],"mmm")</f>
        <v>Mar</v>
      </c>
      <c r="D778">
        <v>2023</v>
      </c>
      <c r="E778" t="s">
        <v>791</v>
      </c>
      <c r="F778" t="s">
        <v>11</v>
      </c>
      <c r="G778">
        <v>42</v>
      </c>
      <c r="H778" t="s">
        <v>12</v>
      </c>
      <c r="I778">
        <v>3</v>
      </c>
      <c r="J778">
        <v>283</v>
      </c>
      <c r="K778">
        <v>849</v>
      </c>
      <c r="L7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79" spans="1:12" x14ac:dyDescent="0.3">
      <c r="A779">
        <v>778</v>
      </c>
      <c r="B779" s="1">
        <v>45123</v>
      </c>
      <c r="C779" s="1" t="str">
        <f>TEXT(RetailStore[[#This Row],[Date]],"mmm")</f>
        <v>Jul</v>
      </c>
      <c r="D779">
        <v>2023</v>
      </c>
      <c r="E779" t="s">
        <v>792</v>
      </c>
      <c r="F779" t="s">
        <v>18</v>
      </c>
      <c r="G779">
        <v>56</v>
      </c>
      <c r="H779" t="s">
        <v>12</v>
      </c>
      <c r="I779">
        <v>2</v>
      </c>
      <c r="J779">
        <v>165</v>
      </c>
      <c r="K779">
        <v>330</v>
      </c>
      <c r="L7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0" spans="1:12" x14ac:dyDescent="0.3">
      <c r="A780">
        <v>779</v>
      </c>
      <c r="B780" s="1">
        <v>45130</v>
      </c>
      <c r="C780" s="1" t="str">
        <f>TEXT(RetailStore[[#This Row],[Date]],"mmm")</f>
        <v>Jul</v>
      </c>
      <c r="D780">
        <v>2023</v>
      </c>
      <c r="E780" t="s">
        <v>793</v>
      </c>
      <c r="F780" t="s">
        <v>18</v>
      </c>
      <c r="G780">
        <v>36</v>
      </c>
      <c r="H780" t="s">
        <v>20</v>
      </c>
      <c r="I780">
        <v>2</v>
      </c>
      <c r="J780">
        <v>95</v>
      </c>
      <c r="K780">
        <v>190</v>
      </c>
      <c r="L7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1" spans="1:12" x14ac:dyDescent="0.3">
      <c r="A781">
        <v>780</v>
      </c>
      <c r="B781" s="1">
        <v>45138</v>
      </c>
      <c r="C781" s="1" t="str">
        <f>TEXT(RetailStore[[#This Row],[Date]],"mmm")</f>
        <v>Jul</v>
      </c>
      <c r="D781">
        <v>2023</v>
      </c>
      <c r="E781" t="s">
        <v>794</v>
      </c>
      <c r="F781" t="s">
        <v>18</v>
      </c>
      <c r="G781">
        <v>62</v>
      </c>
      <c r="H781" t="s">
        <v>12</v>
      </c>
      <c r="I781">
        <v>3</v>
      </c>
      <c r="J781">
        <v>389</v>
      </c>
      <c r="K781">
        <v>1167</v>
      </c>
      <c r="L7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2" spans="1:12" x14ac:dyDescent="0.3">
      <c r="A782">
        <v>781</v>
      </c>
      <c r="B782" s="1">
        <v>45210</v>
      </c>
      <c r="C782" s="1" t="str">
        <f>TEXT(RetailStore[[#This Row],[Date]],"mmm")</f>
        <v>Oct</v>
      </c>
      <c r="D782">
        <v>2023</v>
      </c>
      <c r="E782" t="s">
        <v>795</v>
      </c>
      <c r="F782" t="s">
        <v>11</v>
      </c>
      <c r="G782">
        <v>30</v>
      </c>
      <c r="H782" t="s">
        <v>15</v>
      </c>
      <c r="I782">
        <v>3</v>
      </c>
      <c r="J782">
        <v>376</v>
      </c>
      <c r="K782">
        <v>1128</v>
      </c>
      <c r="L7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3" spans="1:12" x14ac:dyDescent="0.3">
      <c r="A783">
        <v>782</v>
      </c>
      <c r="B783" s="1">
        <v>45103</v>
      </c>
      <c r="C783" s="1" t="str">
        <f>TEXT(RetailStore[[#This Row],[Date]],"mmm")</f>
        <v>Jun</v>
      </c>
      <c r="D783">
        <v>2023</v>
      </c>
      <c r="E783" t="s">
        <v>796</v>
      </c>
      <c r="F783" t="s">
        <v>11</v>
      </c>
      <c r="G783">
        <v>63</v>
      </c>
      <c r="H783" t="s">
        <v>12</v>
      </c>
      <c r="I783">
        <v>2</v>
      </c>
      <c r="J783">
        <v>282</v>
      </c>
      <c r="K783">
        <v>564</v>
      </c>
      <c r="L7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84" spans="1:12" x14ac:dyDescent="0.3">
      <c r="A784">
        <v>783</v>
      </c>
      <c r="B784" s="1">
        <v>45204</v>
      </c>
      <c r="C784" s="1" t="str">
        <f>TEXT(RetailStore[[#This Row],[Date]],"mmm")</f>
        <v>Oct</v>
      </c>
      <c r="D784">
        <v>2023</v>
      </c>
      <c r="E784" t="s">
        <v>797</v>
      </c>
      <c r="F784" t="s">
        <v>18</v>
      </c>
      <c r="G784">
        <v>63</v>
      </c>
      <c r="H784" t="s">
        <v>15</v>
      </c>
      <c r="I784">
        <v>3</v>
      </c>
      <c r="J784">
        <v>312</v>
      </c>
      <c r="K784">
        <v>936</v>
      </c>
      <c r="L7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5" spans="1:12" x14ac:dyDescent="0.3">
      <c r="A785">
        <v>784</v>
      </c>
      <c r="B785" s="1">
        <v>45172</v>
      </c>
      <c r="C785" s="1" t="str">
        <f>TEXT(RetailStore[[#This Row],[Date]],"mmm")</f>
        <v>Sep</v>
      </c>
      <c r="D785">
        <v>2023</v>
      </c>
      <c r="E785" t="s">
        <v>798</v>
      </c>
      <c r="F785" t="s">
        <v>18</v>
      </c>
      <c r="G785">
        <v>61</v>
      </c>
      <c r="H785" t="s">
        <v>12</v>
      </c>
      <c r="I785">
        <v>3</v>
      </c>
      <c r="J785">
        <v>474</v>
      </c>
      <c r="K785">
        <v>1422</v>
      </c>
      <c r="L7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6" spans="1:12" x14ac:dyDescent="0.3">
      <c r="A786">
        <v>785</v>
      </c>
      <c r="B786" s="1">
        <v>45143</v>
      </c>
      <c r="C786" s="1" t="str">
        <f>TEXT(RetailStore[[#This Row],[Date]],"mmm")</f>
        <v>Aug</v>
      </c>
      <c r="D786">
        <v>2023</v>
      </c>
      <c r="E786" t="s">
        <v>799</v>
      </c>
      <c r="F786" t="s">
        <v>11</v>
      </c>
      <c r="G786">
        <v>51</v>
      </c>
      <c r="H786" t="s">
        <v>15</v>
      </c>
      <c r="I786">
        <v>1</v>
      </c>
      <c r="J786">
        <v>220</v>
      </c>
      <c r="K786">
        <v>220</v>
      </c>
      <c r="L7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87" spans="1:12" x14ac:dyDescent="0.3">
      <c r="A787">
        <v>786</v>
      </c>
      <c r="B787" s="1">
        <v>45001</v>
      </c>
      <c r="C787" s="1" t="str">
        <f>TEXT(RetailStore[[#This Row],[Date]],"mmm")</f>
        <v>Mar</v>
      </c>
      <c r="D787">
        <v>2023</v>
      </c>
      <c r="E787" t="s">
        <v>800</v>
      </c>
      <c r="F787" t="s">
        <v>11</v>
      </c>
      <c r="G787">
        <v>60</v>
      </c>
      <c r="H787" t="s">
        <v>15</v>
      </c>
      <c r="I787">
        <v>2</v>
      </c>
      <c r="J787">
        <v>161</v>
      </c>
      <c r="K787">
        <v>322</v>
      </c>
      <c r="L7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88" spans="1:12" x14ac:dyDescent="0.3">
      <c r="A788">
        <v>787</v>
      </c>
      <c r="B788" s="1">
        <v>45009</v>
      </c>
      <c r="C788" s="1" t="str">
        <f>TEXT(RetailStore[[#This Row],[Date]],"mmm")</f>
        <v>Mar</v>
      </c>
      <c r="D788">
        <v>2023</v>
      </c>
      <c r="E788" t="s">
        <v>801</v>
      </c>
      <c r="F788" t="s">
        <v>18</v>
      </c>
      <c r="G788">
        <v>61</v>
      </c>
      <c r="H788" t="s">
        <v>20</v>
      </c>
      <c r="I788">
        <v>2</v>
      </c>
      <c r="J788">
        <v>454</v>
      </c>
      <c r="K788">
        <v>908</v>
      </c>
      <c r="L7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89" spans="1:12" x14ac:dyDescent="0.3">
      <c r="A789">
        <v>788</v>
      </c>
      <c r="B789" s="1">
        <v>44958</v>
      </c>
      <c r="C789" s="1" t="str">
        <f>TEXT(RetailStore[[#This Row],[Date]],"mmm")</f>
        <v>Feb</v>
      </c>
      <c r="D789">
        <v>2023</v>
      </c>
      <c r="E789" t="s">
        <v>802</v>
      </c>
      <c r="F789" t="s">
        <v>18</v>
      </c>
      <c r="G789">
        <v>31</v>
      </c>
      <c r="H789" t="s">
        <v>12</v>
      </c>
      <c r="I789">
        <v>1</v>
      </c>
      <c r="J789">
        <v>208</v>
      </c>
      <c r="K789">
        <v>208</v>
      </c>
      <c r="L7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90" spans="1:12" x14ac:dyDescent="0.3">
      <c r="A790">
        <v>789</v>
      </c>
      <c r="B790" s="1">
        <v>45158</v>
      </c>
      <c r="C790" s="1" t="str">
        <f>TEXT(RetailStore[[#This Row],[Date]],"mmm")</f>
        <v>Aug</v>
      </c>
      <c r="D790">
        <v>2023</v>
      </c>
      <c r="E790" t="s">
        <v>803</v>
      </c>
      <c r="F790" t="s">
        <v>11</v>
      </c>
      <c r="G790">
        <v>57</v>
      </c>
      <c r="H790" t="s">
        <v>12</v>
      </c>
      <c r="I790">
        <v>2</v>
      </c>
      <c r="J790">
        <v>405</v>
      </c>
      <c r="K790">
        <v>810</v>
      </c>
      <c r="L7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91" spans="1:12" x14ac:dyDescent="0.3">
      <c r="A791">
        <v>790</v>
      </c>
      <c r="B791" s="1">
        <v>45258</v>
      </c>
      <c r="C791" s="1" t="str">
        <f>TEXT(RetailStore[[#This Row],[Date]],"mmm")</f>
        <v>Nov</v>
      </c>
      <c r="D791">
        <v>2023</v>
      </c>
      <c r="E791" t="s">
        <v>804</v>
      </c>
      <c r="F791" t="s">
        <v>18</v>
      </c>
      <c r="G791">
        <v>33</v>
      </c>
      <c r="H791" t="s">
        <v>12</v>
      </c>
      <c r="I791">
        <v>3</v>
      </c>
      <c r="J791">
        <v>379</v>
      </c>
      <c r="K791">
        <v>1137</v>
      </c>
      <c r="L7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92" spans="1:12" x14ac:dyDescent="0.3">
      <c r="A792">
        <v>791</v>
      </c>
      <c r="B792" s="1">
        <v>45267</v>
      </c>
      <c r="C792" s="1" t="str">
        <f>TEXT(RetailStore[[#This Row],[Date]],"mmm")</f>
        <v>Dec</v>
      </c>
      <c r="D792">
        <v>2023</v>
      </c>
      <c r="E792" t="s">
        <v>805</v>
      </c>
      <c r="F792" t="s">
        <v>11</v>
      </c>
      <c r="G792">
        <v>42</v>
      </c>
      <c r="H792" t="s">
        <v>20</v>
      </c>
      <c r="I792">
        <v>4</v>
      </c>
      <c r="J792">
        <v>428</v>
      </c>
      <c r="K792">
        <v>1712</v>
      </c>
      <c r="L7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93" spans="1:12" x14ac:dyDescent="0.3">
      <c r="A793">
        <v>792</v>
      </c>
      <c r="B793" s="1">
        <v>45277</v>
      </c>
      <c r="C793" s="1" t="str">
        <f>TEXT(RetailStore[[#This Row],[Date]],"mmm")</f>
        <v>Dec</v>
      </c>
      <c r="D793">
        <v>2023</v>
      </c>
      <c r="E793" t="s">
        <v>806</v>
      </c>
      <c r="F793" t="s">
        <v>18</v>
      </c>
      <c r="G793">
        <v>53</v>
      </c>
      <c r="H793" t="s">
        <v>15</v>
      </c>
      <c r="I793">
        <v>1</v>
      </c>
      <c r="J793">
        <v>405</v>
      </c>
      <c r="K793">
        <v>405</v>
      </c>
      <c r="L7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94" spans="1:12" x14ac:dyDescent="0.3">
      <c r="A794">
        <v>793</v>
      </c>
      <c r="B794" s="1">
        <v>45055</v>
      </c>
      <c r="C794" s="1" t="str">
        <f>TEXT(RetailStore[[#This Row],[Date]],"mmm")</f>
        <v>May</v>
      </c>
      <c r="D794">
        <v>2023</v>
      </c>
      <c r="E794" t="s">
        <v>807</v>
      </c>
      <c r="F794" t="s">
        <v>11</v>
      </c>
      <c r="G794">
        <v>57</v>
      </c>
      <c r="H794" t="s">
        <v>20</v>
      </c>
      <c r="I794">
        <v>2</v>
      </c>
      <c r="J794">
        <v>491</v>
      </c>
      <c r="K794">
        <v>982</v>
      </c>
      <c r="L7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95" spans="1:12" x14ac:dyDescent="0.3">
      <c r="A795">
        <v>794</v>
      </c>
      <c r="B795" s="1">
        <v>45251</v>
      </c>
      <c r="C795" s="1" t="str">
        <f>TEXT(RetailStore[[#This Row],[Date]],"mmm")</f>
        <v>Nov</v>
      </c>
      <c r="D795">
        <v>2023</v>
      </c>
      <c r="E795" t="s">
        <v>808</v>
      </c>
      <c r="F795" t="s">
        <v>18</v>
      </c>
      <c r="G795">
        <v>55</v>
      </c>
      <c r="H795" t="s">
        <v>12</v>
      </c>
      <c r="I795">
        <v>2</v>
      </c>
      <c r="J795">
        <v>422</v>
      </c>
      <c r="K795">
        <v>844</v>
      </c>
      <c r="L7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796" spans="1:12" x14ac:dyDescent="0.3">
      <c r="A796">
        <v>795</v>
      </c>
      <c r="B796" s="1">
        <v>45026</v>
      </c>
      <c r="C796" s="1" t="str">
        <f>TEXT(RetailStore[[#This Row],[Date]],"mmm")</f>
        <v>Apr</v>
      </c>
      <c r="D796">
        <v>2023</v>
      </c>
      <c r="E796" t="s">
        <v>809</v>
      </c>
      <c r="F796" t="s">
        <v>18</v>
      </c>
      <c r="G796">
        <v>46</v>
      </c>
      <c r="H796" t="s">
        <v>15</v>
      </c>
      <c r="I796">
        <v>1</v>
      </c>
      <c r="J796">
        <v>120</v>
      </c>
      <c r="K796">
        <v>120</v>
      </c>
      <c r="L7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97" spans="1:12" x14ac:dyDescent="0.3">
      <c r="A797">
        <v>796</v>
      </c>
      <c r="B797" s="1">
        <v>45015</v>
      </c>
      <c r="C797" s="1" t="str">
        <f>TEXT(RetailStore[[#This Row],[Date]],"mmm")</f>
        <v>Mar</v>
      </c>
      <c r="D797">
        <v>2023</v>
      </c>
      <c r="E797" t="s">
        <v>810</v>
      </c>
      <c r="F797" t="s">
        <v>11</v>
      </c>
      <c r="G797">
        <v>42</v>
      </c>
      <c r="H797" t="s">
        <v>15</v>
      </c>
      <c r="I797">
        <v>4</v>
      </c>
      <c r="J797">
        <v>167</v>
      </c>
      <c r="K797">
        <v>668</v>
      </c>
      <c r="L7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798" spans="1:12" x14ac:dyDescent="0.3">
      <c r="A798">
        <v>797</v>
      </c>
      <c r="B798" s="1">
        <v>45211</v>
      </c>
      <c r="C798" s="1" t="str">
        <f>TEXT(RetailStore[[#This Row],[Date]],"mmm")</f>
        <v>Oct</v>
      </c>
      <c r="D798">
        <v>2023</v>
      </c>
      <c r="E798" t="s">
        <v>811</v>
      </c>
      <c r="F798" t="s">
        <v>18</v>
      </c>
      <c r="G798">
        <v>26</v>
      </c>
      <c r="H798" t="s">
        <v>15</v>
      </c>
      <c r="I798">
        <v>3</v>
      </c>
      <c r="J798">
        <v>27</v>
      </c>
      <c r="K798">
        <v>81</v>
      </c>
      <c r="L7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799" spans="1:12" x14ac:dyDescent="0.3">
      <c r="A799">
        <v>798</v>
      </c>
      <c r="B799" s="1">
        <v>45096</v>
      </c>
      <c r="C799" s="1" t="str">
        <f>TEXT(RetailStore[[#This Row],[Date]],"mmm")</f>
        <v>Jun</v>
      </c>
      <c r="D799">
        <v>2023</v>
      </c>
      <c r="E799" t="s">
        <v>812</v>
      </c>
      <c r="F799" t="s">
        <v>18</v>
      </c>
      <c r="G799">
        <v>63</v>
      </c>
      <c r="H799" t="s">
        <v>15</v>
      </c>
      <c r="I799">
        <v>1</v>
      </c>
      <c r="J799">
        <v>103</v>
      </c>
      <c r="K799">
        <v>103</v>
      </c>
      <c r="L7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00" spans="1:12" x14ac:dyDescent="0.3">
      <c r="A800">
        <v>799</v>
      </c>
      <c r="B800" s="1">
        <v>45092</v>
      </c>
      <c r="C800" s="1" t="str">
        <f>TEXT(RetailStore[[#This Row],[Date]],"mmm")</f>
        <v>Jun</v>
      </c>
      <c r="D800">
        <v>2023</v>
      </c>
      <c r="E800" t="s">
        <v>813</v>
      </c>
      <c r="F800" t="s">
        <v>11</v>
      </c>
      <c r="G800">
        <v>58</v>
      </c>
      <c r="H800" t="s">
        <v>12</v>
      </c>
      <c r="I800">
        <v>3</v>
      </c>
      <c r="J800">
        <v>276</v>
      </c>
      <c r="K800">
        <v>828</v>
      </c>
      <c r="L8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01" spans="1:12" x14ac:dyDescent="0.3">
      <c r="A801">
        <v>800</v>
      </c>
      <c r="B801" s="1">
        <v>45220</v>
      </c>
      <c r="C801" s="1" t="str">
        <f>TEXT(RetailStore[[#This Row],[Date]],"mmm")</f>
        <v>Oct</v>
      </c>
      <c r="D801">
        <v>2023</v>
      </c>
      <c r="E801" t="s">
        <v>814</v>
      </c>
      <c r="F801" t="s">
        <v>18</v>
      </c>
      <c r="G801">
        <v>22</v>
      </c>
      <c r="H801" t="s">
        <v>12</v>
      </c>
      <c r="I801">
        <v>3</v>
      </c>
      <c r="J801">
        <v>294</v>
      </c>
      <c r="K801">
        <v>882</v>
      </c>
      <c r="L8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02" spans="1:12" x14ac:dyDescent="0.3">
      <c r="A802">
        <v>801</v>
      </c>
      <c r="B802" s="1">
        <v>45039</v>
      </c>
      <c r="C802" s="1" t="str">
        <f>TEXT(RetailStore[[#This Row],[Date]],"mmm")</f>
        <v>Apr</v>
      </c>
      <c r="D802">
        <v>2023</v>
      </c>
      <c r="E802" t="s">
        <v>815</v>
      </c>
      <c r="F802" t="s">
        <v>11</v>
      </c>
      <c r="G802">
        <v>51</v>
      </c>
      <c r="H802" t="s">
        <v>15</v>
      </c>
      <c r="I802">
        <v>2</v>
      </c>
      <c r="J802">
        <v>237</v>
      </c>
      <c r="K802">
        <v>474</v>
      </c>
      <c r="L8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03" spans="1:12" x14ac:dyDescent="0.3">
      <c r="A803">
        <v>802</v>
      </c>
      <c r="B803" s="1">
        <v>45205</v>
      </c>
      <c r="C803" s="1" t="str">
        <f>TEXT(RetailStore[[#This Row],[Date]],"mmm")</f>
        <v>Oct</v>
      </c>
      <c r="D803">
        <v>2023</v>
      </c>
      <c r="E803" t="s">
        <v>816</v>
      </c>
      <c r="F803" t="s">
        <v>18</v>
      </c>
      <c r="G803">
        <v>23</v>
      </c>
      <c r="H803" t="s">
        <v>20</v>
      </c>
      <c r="I803">
        <v>2</v>
      </c>
      <c r="J803">
        <v>477</v>
      </c>
      <c r="K803">
        <v>954</v>
      </c>
      <c r="L8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04" spans="1:12" x14ac:dyDescent="0.3">
      <c r="A804">
        <v>803</v>
      </c>
      <c r="B804" s="1">
        <v>45036</v>
      </c>
      <c r="C804" s="1" t="str">
        <f>TEXT(RetailStore[[#This Row],[Date]],"mmm")</f>
        <v>Apr</v>
      </c>
      <c r="D804">
        <v>2023</v>
      </c>
      <c r="E804" t="s">
        <v>817</v>
      </c>
      <c r="F804" t="s">
        <v>18</v>
      </c>
      <c r="G804">
        <v>39</v>
      </c>
      <c r="H804" t="s">
        <v>20</v>
      </c>
      <c r="I804">
        <v>3</v>
      </c>
      <c r="J804">
        <v>136</v>
      </c>
      <c r="K804">
        <v>408</v>
      </c>
      <c r="L8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05" spans="1:12" x14ac:dyDescent="0.3">
      <c r="A805">
        <v>804</v>
      </c>
      <c r="B805" s="1">
        <v>45243</v>
      </c>
      <c r="C805" s="1" t="str">
        <f>TEXT(RetailStore[[#This Row],[Date]],"mmm")</f>
        <v>Nov</v>
      </c>
      <c r="D805">
        <v>2023</v>
      </c>
      <c r="E805" t="s">
        <v>818</v>
      </c>
      <c r="F805" t="s">
        <v>18</v>
      </c>
      <c r="G805">
        <v>53</v>
      </c>
      <c r="H805" t="s">
        <v>12</v>
      </c>
      <c r="I805">
        <v>1</v>
      </c>
      <c r="J805">
        <v>83</v>
      </c>
      <c r="K805">
        <v>83</v>
      </c>
      <c r="L8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06" spans="1:12" x14ac:dyDescent="0.3">
      <c r="A806">
        <v>805</v>
      </c>
      <c r="B806" s="1">
        <v>45269</v>
      </c>
      <c r="C806" s="1" t="str">
        <f>TEXT(RetailStore[[#This Row],[Date]],"mmm")</f>
        <v>Dec</v>
      </c>
      <c r="D806">
        <v>2023</v>
      </c>
      <c r="E806" t="s">
        <v>819</v>
      </c>
      <c r="F806" t="s">
        <v>18</v>
      </c>
      <c r="G806">
        <v>46</v>
      </c>
      <c r="H806" t="s">
        <v>15</v>
      </c>
      <c r="I806">
        <v>2</v>
      </c>
      <c r="J806">
        <v>45</v>
      </c>
      <c r="K806">
        <v>90</v>
      </c>
      <c r="L8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07" spans="1:12" x14ac:dyDescent="0.3">
      <c r="A807">
        <v>806</v>
      </c>
      <c r="B807" s="1">
        <v>45276</v>
      </c>
      <c r="C807" s="1" t="str">
        <f>TEXT(RetailStore[[#This Row],[Date]],"mmm")</f>
        <v>Dec</v>
      </c>
      <c r="D807">
        <v>2023</v>
      </c>
      <c r="E807" t="s">
        <v>820</v>
      </c>
      <c r="F807" t="s">
        <v>18</v>
      </c>
      <c r="G807">
        <v>42</v>
      </c>
      <c r="H807" t="s">
        <v>15</v>
      </c>
      <c r="I807">
        <v>4</v>
      </c>
      <c r="J807">
        <v>156</v>
      </c>
      <c r="K807">
        <v>624</v>
      </c>
      <c r="L8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08" spans="1:12" x14ac:dyDescent="0.3">
      <c r="A808">
        <v>807</v>
      </c>
      <c r="B808" s="1">
        <v>45203</v>
      </c>
      <c r="C808" s="1" t="str">
        <f>TEXT(RetailStore[[#This Row],[Date]],"mmm")</f>
        <v>Oct</v>
      </c>
      <c r="D808">
        <v>2023</v>
      </c>
      <c r="E808" t="s">
        <v>821</v>
      </c>
      <c r="F808" t="s">
        <v>18</v>
      </c>
      <c r="G808">
        <v>19</v>
      </c>
      <c r="H808" t="s">
        <v>12</v>
      </c>
      <c r="I808">
        <v>3</v>
      </c>
      <c r="J808">
        <v>288</v>
      </c>
      <c r="K808">
        <v>864</v>
      </c>
      <c r="L8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09" spans="1:12" x14ac:dyDescent="0.3">
      <c r="A809">
        <v>808</v>
      </c>
      <c r="B809" s="1">
        <v>45187</v>
      </c>
      <c r="C809" s="1" t="str">
        <f>TEXT(RetailStore[[#This Row],[Date]],"mmm")</f>
        <v>Sep</v>
      </c>
      <c r="D809">
        <v>2023</v>
      </c>
      <c r="E809" t="s">
        <v>822</v>
      </c>
      <c r="F809" t="s">
        <v>18</v>
      </c>
      <c r="G809">
        <v>49</v>
      </c>
      <c r="H809" t="s">
        <v>15</v>
      </c>
      <c r="I809">
        <v>3</v>
      </c>
      <c r="J809">
        <v>484</v>
      </c>
      <c r="K809">
        <v>1452</v>
      </c>
      <c r="L8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10" spans="1:12" x14ac:dyDescent="0.3">
      <c r="A810">
        <v>809</v>
      </c>
      <c r="B810" s="1">
        <v>45260</v>
      </c>
      <c r="C810" s="1" t="str">
        <f>TEXT(RetailStore[[#This Row],[Date]],"mmm")</f>
        <v>Nov</v>
      </c>
      <c r="D810">
        <v>2023</v>
      </c>
      <c r="E810" t="s">
        <v>823</v>
      </c>
      <c r="F810" t="s">
        <v>11</v>
      </c>
      <c r="G810">
        <v>38</v>
      </c>
      <c r="H810" t="s">
        <v>12</v>
      </c>
      <c r="I810">
        <v>1</v>
      </c>
      <c r="J810">
        <v>74</v>
      </c>
      <c r="K810">
        <v>74</v>
      </c>
      <c r="L8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11" spans="1:12" x14ac:dyDescent="0.3">
      <c r="A811">
        <v>810</v>
      </c>
      <c r="B811" s="1">
        <v>45012</v>
      </c>
      <c r="C811" s="1" t="str">
        <f>TEXT(RetailStore[[#This Row],[Date]],"mmm")</f>
        <v>Mar</v>
      </c>
      <c r="D811">
        <v>2023</v>
      </c>
      <c r="E811" t="s">
        <v>824</v>
      </c>
      <c r="F811" t="s">
        <v>11</v>
      </c>
      <c r="G811">
        <v>58</v>
      </c>
      <c r="H811" t="s">
        <v>15</v>
      </c>
      <c r="I811">
        <v>2</v>
      </c>
      <c r="J811">
        <v>368</v>
      </c>
      <c r="K811">
        <v>736</v>
      </c>
      <c r="L8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12" spans="1:12" x14ac:dyDescent="0.3">
      <c r="A812">
        <v>811</v>
      </c>
      <c r="B812" s="1">
        <v>45249</v>
      </c>
      <c r="C812" s="1" t="str">
        <f>TEXT(RetailStore[[#This Row],[Date]],"mmm")</f>
        <v>Nov</v>
      </c>
      <c r="D812">
        <v>2023</v>
      </c>
      <c r="E812" t="s">
        <v>825</v>
      </c>
      <c r="F812" t="s">
        <v>11</v>
      </c>
      <c r="G812">
        <v>61</v>
      </c>
      <c r="H812" t="s">
        <v>20</v>
      </c>
      <c r="I812">
        <v>1</v>
      </c>
      <c r="J812">
        <v>130</v>
      </c>
      <c r="K812">
        <v>130</v>
      </c>
      <c r="L8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13" spans="1:12" x14ac:dyDescent="0.3">
      <c r="A813">
        <v>812</v>
      </c>
      <c r="B813" s="1">
        <v>45202</v>
      </c>
      <c r="C813" s="1" t="str">
        <f>TEXT(RetailStore[[#This Row],[Date]],"mmm")</f>
        <v>Oct</v>
      </c>
      <c r="D813">
        <v>2023</v>
      </c>
      <c r="E813" t="s">
        <v>826</v>
      </c>
      <c r="F813" t="s">
        <v>18</v>
      </c>
      <c r="G813">
        <v>59</v>
      </c>
      <c r="H813" t="s">
        <v>15</v>
      </c>
      <c r="I813">
        <v>2</v>
      </c>
      <c r="J813">
        <v>37</v>
      </c>
      <c r="K813">
        <v>74</v>
      </c>
      <c r="L8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14" spans="1:12" x14ac:dyDescent="0.3">
      <c r="A814">
        <v>813</v>
      </c>
      <c r="B814" s="1">
        <v>45162</v>
      </c>
      <c r="C814" s="1" t="str">
        <f>TEXT(RetailStore[[#This Row],[Date]],"mmm")</f>
        <v>Aug</v>
      </c>
      <c r="D814">
        <v>2023</v>
      </c>
      <c r="E814" t="s">
        <v>827</v>
      </c>
      <c r="F814" t="s">
        <v>18</v>
      </c>
      <c r="G814">
        <v>20</v>
      </c>
      <c r="H814" t="s">
        <v>15</v>
      </c>
      <c r="I814">
        <v>1</v>
      </c>
      <c r="J814">
        <v>52</v>
      </c>
      <c r="K814">
        <v>52</v>
      </c>
      <c r="L8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15" spans="1:12" x14ac:dyDescent="0.3">
      <c r="A815">
        <v>814</v>
      </c>
      <c r="B815" s="1">
        <v>45018</v>
      </c>
      <c r="C815" s="1" t="str">
        <f>TEXT(RetailStore[[#This Row],[Date]],"mmm")</f>
        <v>Apr</v>
      </c>
      <c r="D815">
        <v>2023</v>
      </c>
      <c r="E815" t="s">
        <v>828</v>
      </c>
      <c r="F815" t="s">
        <v>18</v>
      </c>
      <c r="G815">
        <v>53</v>
      </c>
      <c r="H815" t="s">
        <v>15</v>
      </c>
      <c r="I815">
        <v>2</v>
      </c>
      <c r="J815">
        <v>491</v>
      </c>
      <c r="K815">
        <v>982</v>
      </c>
      <c r="L8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16" spans="1:12" x14ac:dyDescent="0.3">
      <c r="A816">
        <v>815</v>
      </c>
      <c r="B816" s="1">
        <v>45059</v>
      </c>
      <c r="C816" s="1" t="str">
        <f>TEXT(RetailStore[[#This Row],[Date]],"mmm")</f>
        <v>May</v>
      </c>
      <c r="D816">
        <v>2023</v>
      </c>
      <c r="E816" t="s">
        <v>829</v>
      </c>
      <c r="F816" t="s">
        <v>18</v>
      </c>
      <c r="G816">
        <v>42</v>
      </c>
      <c r="H816" t="s">
        <v>20</v>
      </c>
      <c r="I816">
        <v>4</v>
      </c>
      <c r="J816">
        <v>246</v>
      </c>
      <c r="K816">
        <v>984</v>
      </c>
      <c r="L8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17" spans="1:12" x14ac:dyDescent="0.3">
      <c r="A817">
        <v>816</v>
      </c>
      <c r="B817" s="1">
        <v>45088</v>
      </c>
      <c r="C817" s="1" t="str">
        <f>TEXT(RetailStore[[#This Row],[Date]],"mmm")</f>
        <v>Jun</v>
      </c>
      <c r="D817">
        <v>2023</v>
      </c>
      <c r="E817" t="s">
        <v>830</v>
      </c>
      <c r="F817" t="s">
        <v>11</v>
      </c>
      <c r="G817">
        <v>42</v>
      </c>
      <c r="H817" t="s">
        <v>12</v>
      </c>
      <c r="I817">
        <v>1</v>
      </c>
      <c r="J817">
        <v>298</v>
      </c>
      <c r="K817">
        <v>298</v>
      </c>
      <c r="L8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18" spans="1:12" x14ac:dyDescent="0.3">
      <c r="A818">
        <v>817</v>
      </c>
      <c r="B818" s="1">
        <v>44930</v>
      </c>
      <c r="C818" s="1" t="str">
        <f>TEXT(RetailStore[[#This Row],[Date]],"mmm")</f>
        <v>Jan</v>
      </c>
      <c r="D818">
        <v>2023</v>
      </c>
      <c r="E818" t="s">
        <v>831</v>
      </c>
      <c r="F818" t="s">
        <v>11</v>
      </c>
      <c r="G818">
        <v>55</v>
      </c>
      <c r="H818" t="s">
        <v>15</v>
      </c>
      <c r="I818">
        <v>1</v>
      </c>
      <c r="J818">
        <v>208</v>
      </c>
      <c r="K818">
        <v>208</v>
      </c>
      <c r="L8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19" spans="1:12" x14ac:dyDescent="0.3">
      <c r="A819">
        <v>818</v>
      </c>
      <c r="B819" s="1">
        <v>45184</v>
      </c>
      <c r="C819" s="1" t="str">
        <f>TEXT(RetailStore[[#This Row],[Date]],"mmm")</f>
        <v>Sep</v>
      </c>
      <c r="D819">
        <v>2023</v>
      </c>
      <c r="E819" t="s">
        <v>832</v>
      </c>
      <c r="F819" t="s">
        <v>11</v>
      </c>
      <c r="G819">
        <v>36</v>
      </c>
      <c r="H819" t="s">
        <v>12</v>
      </c>
      <c r="I819">
        <v>3</v>
      </c>
      <c r="J819">
        <v>335</v>
      </c>
      <c r="K819">
        <v>1005</v>
      </c>
      <c r="L8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20" spans="1:12" x14ac:dyDescent="0.3">
      <c r="A820">
        <v>819</v>
      </c>
      <c r="B820" s="1">
        <v>44971</v>
      </c>
      <c r="C820" s="1" t="str">
        <f>TEXT(RetailStore[[#This Row],[Date]],"mmm")</f>
        <v>Feb</v>
      </c>
      <c r="D820">
        <v>2023</v>
      </c>
      <c r="E820" t="s">
        <v>833</v>
      </c>
      <c r="F820" t="s">
        <v>18</v>
      </c>
      <c r="G820">
        <v>46</v>
      </c>
      <c r="H820" t="s">
        <v>20</v>
      </c>
      <c r="I820">
        <v>4</v>
      </c>
      <c r="J820">
        <v>445</v>
      </c>
      <c r="K820">
        <v>1780</v>
      </c>
      <c r="L8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21" spans="1:12" x14ac:dyDescent="0.3">
      <c r="A821">
        <v>820</v>
      </c>
      <c r="B821" s="1">
        <v>45265</v>
      </c>
      <c r="C821" s="1" t="str">
        <f>TEXT(RetailStore[[#This Row],[Date]],"mmm")</f>
        <v>Dec</v>
      </c>
      <c r="D821">
        <v>2023</v>
      </c>
      <c r="E821" t="s">
        <v>834</v>
      </c>
      <c r="F821" t="s">
        <v>11</v>
      </c>
      <c r="G821">
        <v>48</v>
      </c>
      <c r="H821" t="s">
        <v>15</v>
      </c>
      <c r="I821">
        <v>2</v>
      </c>
      <c r="J821">
        <v>94</v>
      </c>
      <c r="K821">
        <v>188</v>
      </c>
      <c r="L8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22" spans="1:12" x14ac:dyDescent="0.3">
      <c r="A822">
        <v>821</v>
      </c>
      <c r="B822" s="1">
        <v>45127</v>
      </c>
      <c r="C822" s="1" t="str">
        <f>TEXT(RetailStore[[#This Row],[Date]],"mmm")</f>
        <v>Jul</v>
      </c>
      <c r="D822">
        <v>2023</v>
      </c>
      <c r="E822" t="s">
        <v>835</v>
      </c>
      <c r="F822" t="s">
        <v>18</v>
      </c>
      <c r="G822">
        <v>58</v>
      </c>
      <c r="H822" t="s">
        <v>15</v>
      </c>
      <c r="I822">
        <v>3</v>
      </c>
      <c r="J822">
        <v>371</v>
      </c>
      <c r="K822">
        <v>1113</v>
      </c>
      <c r="L8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23" spans="1:12" x14ac:dyDescent="0.3">
      <c r="A823">
        <v>822</v>
      </c>
      <c r="B823" s="1">
        <v>45258</v>
      </c>
      <c r="C823" s="1" t="str">
        <f>TEXT(RetailStore[[#This Row],[Date]],"mmm")</f>
        <v>Nov</v>
      </c>
      <c r="D823">
        <v>2023</v>
      </c>
      <c r="E823" t="s">
        <v>836</v>
      </c>
      <c r="F823" t="s">
        <v>18</v>
      </c>
      <c r="G823">
        <v>18</v>
      </c>
      <c r="H823" t="s">
        <v>12</v>
      </c>
      <c r="I823">
        <v>2</v>
      </c>
      <c r="J823">
        <v>88</v>
      </c>
      <c r="K823">
        <v>176</v>
      </c>
      <c r="L8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24" spans="1:12" x14ac:dyDescent="0.3">
      <c r="A824">
        <v>823</v>
      </c>
      <c r="B824" s="1">
        <v>44948</v>
      </c>
      <c r="C824" s="1" t="str">
        <f>TEXT(RetailStore[[#This Row],[Date]],"mmm")</f>
        <v>Jan</v>
      </c>
      <c r="D824">
        <v>2023</v>
      </c>
      <c r="E824" t="s">
        <v>837</v>
      </c>
      <c r="F824" t="s">
        <v>11</v>
      </c>
      <c r="G824">
        <v>54</v>
      </c>
      <c r="H824" t="s">
        <v>12</v>
      </c>
      <c r="I824">
        <v>4</v>
      </c>
      <c r="J824">
        <v>300</v>
      </c>
      <c r="K824">
        <v>1200</v>
      </c>
      <c r="L8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25" spans="1:12" x14ac:dyDescent="0.3">
      <c r="A825">
        <v>824</v>
      </c>
      <c r="B825" s="1">
        <v>45207</v>
      </c>
      <c r="C825" s="1" t="str">
        <f>TEXT(RetailStore[[#This Row],[Date]],"mmm")</f>
        <v>Oct</v>
      </c>
      <c r="D825">
        <v>2023</v>
      </c>
      <c r="E825" t="s">
        <v>838</v>
      </c>
      <c r="F825" t="s">
        <v>11</v>
      </c>
      <c r="G825">
        <v>37</v>
      </c>
      <c r="H825" t="s">
        <v>15</v>
      </c>
      <c r="I825">
        <v>3</v>
      </c>
      <c r="J825">
        <v>133</v>
      </c>
      <c r="K825">
        <v>399</v>
      </c>
      <c r="L8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26" spans="1:12" x14ac:dyDescent="0.3">
      <c r="A826">
        <v>825</v>
      </c>
      <c r="B826" s="1">
        <v>45138</v>
      </c>
      <c r="C826" s="1" t="str">
        <f>TEXT(RetailStore[[#This Row],[Date]],"mmm")</f>
        <v>Jul</v>
      </c>
      <c r="D826">
        <v>2023</v>
      </c>
      <c r="E826" t="s">
        <v>839</v>
      </c>
      <c r="F826" t="s">
        <v>11</v>
      </c>
      <c r="G826">
        <v>28</v>
      </c>
      <c r="H826" t="s">
        <v>15</v>
      </c>
      <c r="I826">
        <v>2</v>
      </c>
      <c r="J826">
        <v>340</v>
      </c>
      <c r="K826">
        <v>680</v>
      </c>
      <c r="L8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27" spans="1:12" x14ac:dyDescent="0.3">
      <c r="A827">
        <v>826</v>
      </c>
      <c r="B827" s="1">
        <v>45056</v>
      </c>
      <c r="C827" s="1" t="str">
        <f>TEXT(RetailStore[[#This Row],[Date]],"mmm")</f>
        <v>May</v>
      </c>
      <c r="D827">
        <v>2023</v>
      </c>
      <c r="E827" t="s">
        <v>840</v>
      </c>
      <c r="F827" t="s">
        <v>11</v>
      </c>
      <c r="G827">
        <v>25</v>
      </c>
      <c r="H827" t="s">
        <v>15</v>
      </c>
      <c r="I827">
        <v>1</v>
      </c>
      <c r="J827">
        <v>460</v>
      </c>
      <c r="K827">
        <v>460</v>
      </c>
      <c r="L8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28" spans="1:12" x14ac:dyDescent="0.3">
      <c r="A828">
        <v>827</v>
      </c>
      <c r="B828" s="1">
        <v>45208</v>
      </c>
      <c r="C828" s="1" t="str">
        <f>TEXT(RetailStore[[#This Row],[Date]],"mmm")</f>
        <v>Oct</v>
      </c>
      <c r="D828">
        <v>2023</v>
      </c>
      <c r="E828" t="s">
        <v>841</v>
      </c>
      <c r="F828" t="s">
        <v>18</v>
      </c>
      <c r="G828">
        <v>59</v>
      </c>
      <c r="H828" t="s">
        <v>12</v>
      </c>
      <c r="I828">
        <v>1</v>
      </c>
      <c r="J828">
        <v>173</v>
      </c>
      <c r="K828">
        <v>173</v>
      </c>
      <c r="L8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29" spans="1:12" x14ac:dyDescent="0.3">
      <c r="A829">
        <v>828</v>
      </c>
      <c r="B829" s="1">
        <v>45270</v>
      </c>
      <c r="C829" s="1" t="str">
        <f>TEXT(RetailStore[[#This Row],[Date]],"mmm")</f>
        <v>Dec</v>
      </c>
      <c r="D829">
        <v>2023</v>
      </c>
      <c r="E829" t="s">
        <v>842</v>
      </c>
      <c r="F829" t="s">
        <v>11</v>
      </c>
      <c r="G829">
        <v>34</v>
      </c>
      <c r="H829" t="s">
        <v>15</v>
      </c>
      <c r="I829">
        <v>2</v>
      </c>
      <c r="J829">
        <v>396</v>
      </c>
      <c r="K829">
        <v>792</v>
      </c>
      <c r="L8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30" spans="1:12" x14ac:dyDescent="0.3">
      <c r="A830">
        <v>829</v>
      </c>
      <c r="B830" s="1">
        <v>45224</v>
      </c>
      <c r="C830" s="1" t="str">
        <f>TEXT(RetailStore[[#This Row],[Date]],"mmm")</f>
        <v>Oct</v>
      </c>
      <c r="D830">
        <v>2023</v>
      </c>
      <c r="E830" t="s">
        <v>843</v>
      </c>
      <c r="F830" t="s">
        <v>18</v>
      </c>
      <c r="G830">
        <v>39</v>
      </c>
      <c r="H830" t="s">
        <v>20</v>
      </c>
      <c r="I830">
        <v>2</v>
      </c>
      <c r="J830">
        <v>368</v>
      </c>
      <c r="K830">
        <v>736</v>
      </c>
      <c r="L8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31" spans="1:12" x14ac:dyDescent="0.3">
      <c r="A831">
        <v>830</v>
      </c>
      <c r="B831" s="1">
        <v>45262</v>
      </c>
      <c r="C831" s="1" t="str">
        <f>TEXT(RetailStore[[#This Row],[Date]],"mmm")</f>
        <v>Dec</v>
      </c>
      <c r="D831">
        <v>2023</v>
      </c>
      <c r="E831" t="s">
        <v>844</v>
      </c>
      <c r="F831" t="s">
        <v>11</v>
      </c>
      <c r="G831">
        <v>24</v>
      </c>
      <c r="H831" t="s">
        <v>20</v>
      </c>
      <c r="I831">
        <v>1</v>
      </c>
      <c r="J831">
        <v>485</v>
      </c>
      <c r="K831">
        <v>485</v>
      </c>
      <c r="L8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32" spans="1:12" x14ac:dyDescent="0.3">
      <c r="A832">
        <v>831</v>
      </c>
      <c r="B832" s="1">
        <v>45026</v>
      </c>
      <c r="C832" s="1" t="str">
        <f>TEXT(RetailStore[[#This Row],[Date]],"mmm")</f>
        <v>Apr</v>
      </c>
      <c r="D832">
        <v>2023</v>
      </c>
      <c r="E832" t="s">
        <v>845</v>
      </c>
      <c r="F832" t="s">
        <v>18</v>
      </c>
      <c r="G832">
        <v>49</v>
      </c>
      <c r="H832" t="s">
        <v>20</v>
      </c>
      <c r="I832">
        <v>3</v>
      </c>
      <c r="J832">
        <v>340</v>
      </c>
      <c r="K832">
        <v>1020</v>
      </c>
      <c r="L8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33" spans="1:12" x14ac:dyDescent="0.3">
      <c r="A833">
        <v>832</v>
      </c>
      <c r="B833" s="1">
        <v>45264</v>
      </c>
      <c r="C833" s="1" t="str">
        <f>TEXT(RetailStore[[#This Row],[Date]],"mmm")</f>
        <v>Dec</v>
      </c>
      <c r="D833">
        <v>2023</v>
      </c>
      <c r="E833" t="s">
        <v>846</v>
      </c>
      <c r="F833" t="s">
        <v>18</v>
      </c>
      <c r="G833">
        <v>62</v>
      </c>
      <c r="H833" t="s">
        <v>12</v>
      </c>
      <c r="I833">
        <v>2</v>
      </c>
      <c r="J833">
        <v>314</v>
      </c>
      <c r="K833">
        <v>628</v>
      </c>
      <c r="L8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34" spans="1:12" x14ac:dyDescent="0.3">
      <c r="A834">
        <v>833</v>
      </c>
      <c r="B834" s="1">
        <v>45217</v>
      </c>
      <c r="C834" s="1" t="str">
        <f>TEXT(RetailStore[[#This Row],[Date]],"mmm")</f>
        <v>Oct</v>
      </c>
      <c r="D834">
        <v>2023</v>
      </c>
      <c r="E834" t="s">
        <v>847</v>
      </c>
      <c r="F834" t="s">
        <v>18</v>
      </c>
      <c r="G834">
        <v>38</v>
      </c>
      <c r="H834" t="s">
        <v>20</v>
      </c>
      <c r="I834">
        <v>2</v>
      </c>
      <c r="J834">
        <v>27</v>
      </c>
      <c r="K834">
        <v>54</v>
      </c>
      <c r="L8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35" spans="1:12" x14ac:dyDescent="0.3">
      <c r="A835">
        <v>834</v>
      </c>
      <c r="B835" s="1">
        <v>45087</v>
      </c>
      <c r="C835" s="1" t="str">
        <f>TEXT(RetailStore[[#This Row],[Date]],"mmm")</f>
        <v>Jun</v>
      </c>
      <c r="D835">
        <v>2023</v>
      </c>
      <c r="E835" t="s">
        <v>848</v>
      </c>
      <c r="F835" t="s">
        <v>11</v>
      </c>
      <c r="G835">
        <v>32</v>
      </c>
      <c r="H835" t="s">
        <v>12</v>
      </c>
      <c r="I835">
        <v>4</v>
      </c>
      <c r="J835">
        <v>166</v>
      </c>
      <c r="K835">
        <v>664</v>
      </c>
      <c r="L8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36" spans="1:12" x14ac:dyDescent="0.3">
      <c r="A836">
        <v>835</v>
      </c>
      <c r="B836" s="1">
        <v>45111</v>
      </c>
      <c r="C836" s="1" t="str">
        <f>TEXT(RetailStore[[#This Row],[Date]],"mmm")</f>
        <v>Jul</v>
      </c>
      <c r="D836">
        <v>2023</v>
      </c>
      <c r="E836" t="s">
        <v>849</v>
      </c>
      <c r="F836" t="s">
        <v>11</v>
      </c>
      <c r="G836">
        <v>61</v>
      </c>
      <c r="H836" t="s">
        <v>12</v>
      </c>
      <c r="I836">
        <v>3</v>
      </c>
      <c r="J836">
        <v>474</v>
      </c>
      <c r="K836">
        <v>1422</v>
      </c>
      <c r="L8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37" spans="1:12" x14ac:dyDescent="0.3">
      <c r="A837">
        <v>836</v>
      </c>
      <c r="B837" s="1">
        <v>45172</v>
      </c>
      <c r="C837" s="1" t="str">
        <f>TEXT(RetailStore[[#This Row],[Date]],"mmm")</f>
        <v>Sep</v>
      </c>
      <c r="D837">
        <v>2023</v>
      </c>
      <c r="E837" t="s">
        <v>850</v>
      </c>
      <c r="F837" t="s">
        <v>18</v>
      </c>
      <c r="G837">
        <v>46</v>
      </c>
      <c r="H837" t="s">
        <v>20</v>
      </c>
      <c r="I837">
        <v>3</v>
      </c>
      <c r="J837">
        <v>274</v>
      </c>
      <c r="K837">
        <v>822</v>
      </c>
      <c r="L8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38" spans="1:12" x14ac:dyDescent="0.3">
      <c r="A838">
        <v>837</v>
      </c>
      <c r="B838" s="1">
        <v>45209</v>
      </c>
      <c r="C838" s="1" t="str">
        <f>TEXT(RetailStore[[#This Row],[Date]],"mmm")</f>
        <v>Oct</v>
      </c>
      <c r="D838">
        <v>2023</v>
      </c>
      <c r="E838" t="s">
        <v>851</v>
      </c>
      <c r="F838" t="s">
        <v>11</v>
      </c>
      <c r="G838">
        <v>29</v>
      </c>
      <c r="H838" t="s">
        <v>12</v>
      </c>
      <c r="I838">
        <v>1</v>
      </c>
      <c r="J838">
        <v>455</v>
      </c>
      <c r="K838">
        <v>455</v>
      </c>
      <c r="L8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39" spans="1:12" x14ac:dyDescent="0.3">
      <c r="A839">
        <v>838</v>
      </c>
      <c r="B839" s="1">
        <v>45070</v>
      </c>
      <c r="C839" s="1" t="str">
        <f>TEXT(RetailStore[[#This Row],[Date]],"mmm")</f>
        <v>May</v>
      </c>
      <c r="D839">
        <v>2023</v>
      </c>
      <c r="E839" t="s">
        <v>852</v>
      </c>
      <c r="F839" t="s">
        <v>11</v>
      </c>
      <c r="G839">
        <v>52</v>
      </c>
      <c r="H839" t="s">
        <v>15</v>
      </c>
      <c r="I839">
        <v>3</v>
      </c>
      <c r="J839">
        <v>400</v>
      </c>
      <c r="K839">
        <v>1200</v>
      </c>
      <c r="L8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40" spans="1:12" x14ac:dyDescent="0.3">
      <c r="A840">
        <v>839</v>
      </c>
      <c r="B840" s="1">
        <v>45247</v>
      </c>
      <c r="C840" s="1" t="str">
        <f>TEXT(RetailStore[[#This Row],[Date]],"mmm")</f>
        <v>Nov</v>
      </c>
      <c r="D840">
        <v>2023</v>
      </c>
      <c r="E840" t="s">
        <v>853</v>
      </c>
      <c r="F840" t="s">
        <v>11</v>
      </c>
      <c r="G840">
        <v>64</v>
      </c>
      <c r="H840" t="s">
        <v>15</v>
      </c>
      <c r="I840">
        <v>1</v>
      </c>
      <c r="J840">
        <v>459</v>
      </c>
      <c r="K840">
        <v>459</v>
      </c>
      <c r="L8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41" spans="1:12" x14ac:dyDescent="0.3">
      <c r="A841">
        <v>840</v>
      </c>
      <c r="B841" s="1">
        <v>45186</v>
      </c>
      <c r="C841" s="1" t="str">
        <f>TEXT(RetailStore[[#This Row],[Date]],"mmm")</f>
        <v>Sep</v>
      </c>
      <c r="D841">
        <v>2023</v>
      </c>
      <c r="E841" t="s">
        <v>854</v>
      </c>
      <c r="F841" t="s">
        <v>11</v>
      </c>
      <c r="G841">
        <v>55</v>
      </c>
      <c r="H841" t="s">
        <v>12</v>
      </c>
      <c r="I841">
        <v>4</v>
      </c>
      <c r="J841">
        <v>418</v>
      </c>
      <c r="K841">
        <v>1672</v>
      </c>
      <c r="L8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42" spans="1:12" x14ac:dyDescent="0.3">
      <c r="A842">
        <v>841</v>
      </c>
      <c r="B842" s="1">
        <v>45229</v>
      </c>
      <c r="C842" s="1" t="str">
        <f>TEXT(RetailStore[[#This Row],[Date]],"mmm")</f>
        <v>Oct</v>
      </c>
      <c r="D842">
        <v>2023</v>
      </c>
      <c r="E842" t="s">
        <v>855</v>
      </c>
      <c r="F842" t="s">
        <v>11</v>
      </c>
      <c r="G842">
        <v>20</v>
      </c>
      <c r="H842" t="s">
        <v>12</v>
      </c>
      <c r="I842">
        <v>3</v>
      </c>
      <c r="J842">
        <v>303</v>
      </c>
      <c r="K842">
        <v>909</v>
      </c>
      <c r="L8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43" spans="1:12" x14ac:dyDescent="0.3">
      <c r="A843">
        <v>842</v>
      </c>
      <c r="B843" s="1">
        <v>45203</v>
      </c>
      <c r="C843" s="1" t="str">
        <f>TEXT(RetailStore[[#This Row],[Date]],"mmm")</f>
        <v>Oct</v>
      </c>
      <c r="D843">
        <v>2023</v>
      </c>
      <c r="E843" t="s">
        <v>856</v>
      </c>
      <c r="F843" t="s">
        <v>18</v>
      </c>
      <c r="G843">
        <v>59</v>
      </c>
      <c r="H843" t="s">
        <v>15</v>
      </c>
      <c r="I843">
        <v>3</v>
      </c>
      <c r="J843">
        <v>225</v>
      </c>
      <c r="K843">
        <v>675</v>
      </c>
      <c r="L8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44" spans="1:12" x14ac:dyDescent="0.3">
      <c r="A844">
        <v>843</v>
      </c>
      <c r="B844" s="1">
        <v>45041</v>
      </c>
      <c r="C844" s="1" t="str">
        <f>TEXT(RetailStore[[#This Row],[Date]],"mmm")</f>
        <v>Apr</v>
      </c>
      <c r="D844">
        <v>2023</v>
      </c>
      <c r="E844" t="s">
        <v>857</v>
      </c>
      <c r="F844" t="s">
        <v>18</v>
      </c>
      <c r="G844">
        <v>26</v>
      </c>
      <c r="H844" t="s">
        <v>20</v>
      </c>
      <c r="I844">
        <v>1</v>
      </c>
      <c r="J844">
        <v>228</v>
      </c>
      <c r="K844">
        <v>228</v>
      </c>
      <c r="L8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45" spans="1:12" x14ac:dyDescent="0.3">
      <c r="A845">
        <v>844</v>
      </c>
      <c r="B845" s="1">
        <v>45113</v>
      </c>
      <c r="C845" s="1" t="str">
        <f>TEXT(RetailStore[[#This Row],[Date]],"mmm")</f>
        <v>Jul</v>
      </c>
      <c r="D845">
        <v>2023</v>
      </c>
      <c r="E845" t="s">
        <v>858</v>
      </c>
      <c r="F845" t="s">
        <v>11</v>
      </c>
      <c r="G845">
        <v>60</v>
      </c>
      <c r="H845" t="s">
        <v>15</v>
      </c>
      <c r="I845">
        <v>2</v>
      </c>
      <c r="J845">
        <v>412</v>
      </c>
      <c r="K845">
        <v>824</v>
      </c>
      <c r="L8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46" spans="1:12" x14ac:dyDescent="0.3">
      <c r="A846">
        <v>845</v>
      </c>
      <c r="B846" s="1">
        <v>45190</v>
      </c>
      <c r="C846" s="1" t="str">
        <f>TEXT(RetailStore[[#This Row],[Date]],"mmm")</f>
        <v>Sep</v>
      </c>
      <c r="D846">
        <v>2023</v>
      </c>
      <c r="E846" t="s">
        <v>859</v>
      </c>
      <c r="F846" t="s">
        <v>11</v>
      </c>
      <c r="G846">
        <v>46</v>
      </c>
      <c r="H846" t="s">
        <v>15</v>
      </c>
      <c r="I846">
        <v>2</v>
      </c>
      <c r="J846">
        <v>314</v>
      </c>
      <c r="K846">
        <v>628</v>
      </c>
      <c r="L8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47" spans="1:12" x14ac:dyDescent="0.3">
      <c r="A847">
        <v>846</v>
      </c>
      <c r="B847" s="1">
        <v>45216</v>
      </c>
      <c r="C847" s="1" t="str">
        <f>TEXT(RetailStore[[#This Row],[Date]],"mmm")</f>
        <v>Oct</v>
      </c>
      <c r="D847">
        <v>2023</v>
      </c>
      <c r="E847" t="s">
        <v>860</v>
      </c>
      <c r="F847" t="s">
        <v>11</v>
      </c>
      <c r="G847">
        <v>64</v>
      </c>
      <c r="H847" t="s">
        <v>20</v>
      </c>
      <c r="I847">
        <v>3</v>
      </c>
      <c r="J847">
        <v>45</v>
      </c>
      <c r="K847">
        <v>135</v>
      </c>
      <c r="L8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48" spans="1:12" x14ac:dyDescent="0.3">
      <c r="A848">
        <v>847</v>
      </c>
      <c r="B848" s="1">
        <v>45039</v>
      </c>
      <c r="C848" s="1" t="str">
        <f>TEXT(RetailStore[[#This Row],[Date]],"mmm")</f>
        <v>Apr</v>
      </c>
      <c r="D848">
        <v>2023</v>
      </c>
      <c r="E848" t="s">
        <v>861</v>
      </c>
      <c r="F848" t="s">
        <v>18</v>
      </c>
      <c r="G848">
        <v>32</v>
      </c>
      <c r="H848" t="s">
        <v>15</v>
      </c>
      <c r="I848">
        <v>3</v>
      </c>
      <c r="J848">
        <v>214</v>
      </c>
      <c r="K848">
        <v>642</v>
      </c>
      <c r="L8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49" spans="1:12" x14ac:dyDescent="0.3">
      <c r="A849">
        <v>848</v>
      </c>
      <c r="B849" s="1">
        <v>45046</v>
      </c>
      <c r="C849" s="1" t="str">
        <f>TEXT(RetailStore[[#This Row],[Date]],"mmm")</f>
        <v>Apr</v>
      </c>
      <c r="D849">
        <v>2023</v>
      </c>
      <c r="E849" t="s">
        <v>862</v>
      </c>
      <c r="F849" t="s">
        <v>11</v>
      </c>
      <c r="G849">
        <v>60</v>
      </c>
      <c r="H849" t="s">
        <v>15</v>
      </c>
      <c r="I849">
        <v>3</v>
      </c>
      <c r="J849">
        <v>223</v>
      </c>
      <c r="K849">
        <v>669</v>
      </c>
      <c r="L8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50" spans="1:12" x14ac:dyDescent="0.3">
      <c r="A850">
        <v>849</v>
      </c>
      <c r="B850" s="1">
        <v>45167</v>
      </c>
      <c r="C850" s="1" t="str">
        <f>TEXT(RetailStore[[#This Row],[Date]],"mmm")</f>
        <v>Aug</v>
      </c>
      <c r="D850">
        <v>2023</v>
      </c>
      <c r="E850" t="s">
        <v>863</v>
      </c>
      <c r="F850" t="s">
        <v>18</v>
      </c>
      <c r="G850">
        <v>20</v>
      </c>
      <c r="H850" t="s">
        <v>15</v>
      </c>
      <c r="I850">
        <v>3</v>
      </c>
      <c r="J850">
        <v>77</v>
      </c>
      <c r="K850">
        <v>231</v>
      </c>
      <c r="L8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51" spans="1:12" x14ac:dyDescent="0.3">
      <c r="A851">
        <v>850</v>
      </c>
      <c r="B851" s="1">
        <v>45287</v>
      </c>
      <c r="C851" s="1" t="str">
        <f>TEXT(RetailStore[[#This Row],[Date]],"mmm")</f>
        <v>Dec</v>
      </c>
      <c r="D851">
        <v>2023</v>
      </c>
      <c r="E851" t="s">
        <v>864</v>
      </c>
      <c r="F851" t="s">
        <v>18</v>
      </c>
      <c r="G851">
        <v>34</v>
      </c>
      <c r="H851" t="s">
        <v>12</v>
      </c>
      <c r="I851">
        <v>2</v>
      </c>
      <c r="J851">
        <v>217</v>
      </c>
      <c r="K851">
        <v>434</v>
      </c>
      <c r="L8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52" spans="1:12" x14ac:dyDescent="0.3">
      <c r="A852">
        <v>851</v>
      </c>
      <c r="B852" s="1">
        <v>45261</v>
      </c>
      <c r="C852" s="1" t="str">
        <f>TEXT(RetailStore[[#This Row],[Date]],"mmm")</f>
        <v>Dec</v>
      </c>
      <c r="D852">
        <v>2023</v>
      </c>
      <c r="E852" t="s">
        <v>865</v>
      </c>
      <c r="F852" t="s">
        <v>18</v>
      </c>
      <c r="G852">
        <v>41</v>
      </c>
      <c r="H852" t="s">
        <v>12</v>
      </c>
      <c r="I852">
        <v>1</v>
      </c>
      <c r="J852">
        <v>289</v>
      </c>
      <c r="K852">
        <v>289</v>
      </c>
      <c r="L8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53" spans="1:12" x14ac:dyDescent="0.3">
      <c r="A853">
        <v>852</v>
      </c>
      <c r="B853" s="1">
        <v>45055</v>
      </c>
      <c r="C853" s="1" t="str">
        <f>TEXT(RetailStore[[#This Row],[Date]],"mmm")</f>
        <v>May</v>
      </c>
      <c r="D853">
        <v>2023</v>
      </c>
      <c r="E853" t="s">
        <v>866</v>
      </c>
      <c r="F853" t="s">
        <v>18</v>
      </c>
      <c r="G853">
        <v>32</v>
      </c>
      <c r="H853" t="s">
        <v>12</v>
      </c>
      <c r="I853">
        <v>4</v>
      </c>
      <c r="J853">
        <v>205</v>
      </c>
      <c r="K853">
        <v>820</v>
      </c>
      <c r="L8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54" spans="1:12" x14ac:dyDescent="0.3">
      <c r="A854">
        <v>853</v>
      </c>
      <c r="B854" s="1">
        <v>45103</v>
      </c>
      <c r="C854" s="1" t="str">
        <f>TEXT(RetailStore[[#This Row],[Date]],"mmm")</f>
        <v>Jun</v>
      </c>
      <c r="D854">
        <v>2023</v>
      </c>
      <c r="E854" t="s">
        <v>867</v>
      </c>
      <c r="F854" t="s">
        <v>18</v>
      </c>
      <c r="G854">
        <v>48</v>
      </c>
      <c r="H854" t="s">
        <v>12</v>
      </c>
      <c r="I854">
        <v>1</v>
      </c>
      <c r="J854">
        <v>281</v>
      </c>
      <c r="K854">
        <v>281</v>
      </c>
      <c r="L8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55" spans="1:12" x14ac:dyDescent="0.3">
      <c r="A855">
        <v>854</v>
      </c>
      <c r="B855" s="1">
        <v>44998</v>
      </c>
      <c r="C855" s="1" t="str">
        <f>TEXT(RetailStore[[#This Row],[Date]],"mmm")</f>
        <v>Mar</v>
      </c>
      <c r="D855">
        <v>2023</v>
      </c>
      <c r="E855" t="s">
        <v>868</v>
      </c>
      <c r="F855" t="s">
        <v>18</v>
      </c>
      <c r="G855">
        <v>28</v>
      </c>
      <c r="H855" t="s">
        <v>15</v>
      </c>
      <c r="I855">
        <v>1</v>
      </c>
      <c r="J855">
        <v>288</v>
      </c>
      <c r="K855">
        <v>288</v>
      </c>
      <c r="L8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56" spans="1:12" x14ac:dyDescent="0.3">
      <c r="A856">
        <v>855</v>
      </c>
      <c r="B856" s="1">
        <v>45256</v>
      </c>
      <c r="C856" s="1" t="str">
        <f>TEXT(RetailStore[[#This Row],[Date]],"mmm")</f>
        <v>Nov</v>
      </c>
      <c r="D856">
        <v>2023</v>
      </c>
      <c r="E856" t="s">
        <v>869</v>
      </c>
      <c r="F856" t="s">
        <v>18</v>
      </c>
      <c r="G856">
        <v>31</v>
      </c>
      <c r="H856" t="s">
        <v>15</v>
      </c>
      <c r="I856">
        <v>2</v>
      </c>
      <c r="J856">
        <v>105</v>
      </c>
      <c r="K856">
        <v>210</v>
      </c>
      <c r="L8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57" spans="1:12" x14ac:dyDescent="0.3">
      <c r="A857">
        <v>856</v>
      </c>
      <c r="B857" s="1">
        <v>45112</v>
      </c>
      <c r="C857" s="1" t="str">
        <f>TEXT(RetailStore[[#This Row],[Date]],"mmm")</f>
        <v>Jul</v>
      </c>
      <c r="D857">
        <v>2023</v>
      </c>
      <c r="E857" t="s">
        <v>870</v>
      </c>
      <c r="F857" t="s">
        <v>11</v>
      </c>
      <c r="G857">
        <v>60</v>
      </c>
      <c r="H857" t="s">
        <v>15</v>
      </c>
      <c r="I857">
        <v>4</v>
      </c>
      <c r="J857">
        <v>440</v>
      </c>
      <c r="K857">
        <v>1760</v>
      </c>
      <c r="L8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58" spans="1:12" x14ac:dyDescent="0.3">
      <c r="A858">
        <v>857</v>
      </c>
      <c r="B858" s="1">
        <v>45096</v>
      </c>
      <c r="C858" s="1" t="str">
        <f>TEXT(RetailStore[[#This Row],[Date]],"mmm")</f>
        <v>Jun</v>
      </c>
      <c r="D858">
        <v>2023</v>
      </c>
      <c r="E858" t="s">
        <v>871</v>
      </c>
      <c r="F858" t="s">
        <v>11</v>
      </c>
      <c r="G858">
        <v>48</v>
      </c>
      <c r="H858" t="s">
        <v>12</v>
      </c>
      <c r="I858">
        <v>4</v>
      </c>
      <c r="J858">
        <v>270</v>
      </c>
      <c r="K858">
        <v>1080</v>
      </c>
      <c r="L8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59" spans="1:12" x14ac:dyDescent="0.3">
      <c r="A859">
        <v>858</v>
      </c>
      <c r="B859" s="1">
        <v>45034</v>
      </c>
      <c r="C859" s="1" t="str">
        <f>TEXT(RetailStore[[#This Row],[Date]],"mmm")</f>
        <v>Apr</v>
      </c>
      <c r="D859">
        <v>2023</v>
      </c>
      <c r="E859" t="s">
        <v>872</v>
      </c>
      <c r="F859" t="s">
        <v>11</v>
      </c>
      <c r="G859">
        <v>59</v>
      </c>
      <c r="H859" t="s">
        <v>20</v>
      </c>
      <c r="I859">
        <v>1</v>
      </c>
      <c r="J859">
        <v>149</v>
      </c>
      <c r="K859">
        <v>149</v>
      </c>
      <c r="L8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60" spans="1:12" x14ac:dyDescent="0.3">
      <c r="A860">
        <v>859</v>
      </c>
      <c r="B860" s="1">
        <v>44949</v>
      </c>
      <c r="C860" s="1" t="str">
        <f>TEXT(RetailStore[[#This Row],[Date]],"mmm")</f>
        <v>Jan</v>
      </c>
      <c r="D860">
        <v>2023</v>
      </c>
      <c r="E860" t="s">
        <v>873</v>
      </c>
      <c r="F860" t="s">
        <v>11</v>
      </c>
      <c r="G860">
        <v>54</v>
      </c>
      <c r="H860" t="s">
        <v>12</v>
      </c>
      <c r="I860">
        <v>2</v>
      </c>
      <c r="J860">
        <v>93</v>
      </c>
      <c r="K860">
        <v>186</v>
      </c>
      <c r="L8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61" spans="1:12" x14ac:dyDescent="0.3">
      <c r="A861">
        <v>860</v>
      </c>
      <c r="B861" s="1">
        <v>45249</v>
      </c>
      <c r="C861" s="1" t="str">
        <f>TEXT(RetailStore[[#This Row],[Date]],"mmm")</f>
        <v>Nov</v>
      </c>
      <c r="D861">
        <v>2023</v>
      </c>
      <c r="E861" t="s">
        <v>874</v>
      </c>
      <c r="F861" t="s">
        <v>11</v>
      </c>
      <c r="G861">
        <v>54</v>
      </c>
      <c r="H861" t="s">
        <v>15</v>
      </c>
      <c r="I861">
        <v>1</v>
      </c>
      <c r="J861">
        <v>110</v>
      </c>
      <c r="K861">
        <v>110</v>
      </c>
      <c r="L8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62" spans="1:12" x14ac:dyDescent="0.3">
      <c r="A862">
        <v>861</v>
      </c>
      <c r="B862" s="1">
        <v>45059</v>
      </c>
      <c r="C862" s="1" t="str">
        <f>TEXT(RetailStore[[#This Row],[Date]],"mmm")</f>
        <v>May</v>
      </c>
      <c r="D862">
        <v>2023</v>
      </c>
      <c r="E862" t="s">
        <v>875</v>
      </c>
      <c r="F862" t="s">
        <v>11</v>
      </c>
      <c r="G862">
        <v>51</v>
      </c>
      <c r="H862" t="s">
        <v>20</v>
      </c>
      <c r="I862">
        <v>1</v>
      </c>
      <c r="J862">
        <v>474</v>
      </c>
      <c r="K862">
        <v>474</v>
      </c>
      <c r="L8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63" spans="1:12" x14ac:dyDescent="0.3">
      <c r="A863">
        <v>862</v>
      </c>
      <c r="B863" s="1">
        <v>45265</v>
      </c>
      <c r="C863" s="1" t="str">
        <f>TEXT(RetailStore[[#This Row],[Date]],"mmm")</f>
        <v>Dec</v>
      </c>
      <c r="D863">
        <v>2023</v>
      </c>
      <c r="E863" t="s">
        <v>876</v>
      </c>
      <c r="F863" t="s">
        <v>18</v>
      </c>
      <c r="G863">
        <v>23</v>
      </c>
      <c r="H863" t="s">
        <v>15</v>
      </c>
      <c r="I863">
        <v>4</v>
      </c>
      <c r="J863">
        <v>335</v>
      </c>
      <c r="K863">
        <v>1340</v>
      </c>
      <c r="L8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64" spans="1:12" x14ac:dyDescent="0.3">
      <c r="A864">
        <v>863</v>
      </c>
      <c r="B864" s="1">
        <v>45168</v>
      </c>
      <c r="C864" s="1" t="str">
        <f>TEXT(RetailStore[[#This Row],[Date]],"mmm")</f>
        <v>Aug</v>
      </c>
      <c r="D864">
        <v>2023</v>
      </c>
      <c r="E864" t="s">
        <v>877</v>
      </c>
      <c r="F864" t="s">
        <v>18</v>
      </c>
      <c r="G864">
        <v>28</v>
      </c>
      <c r="H864" t="s">
        <v>15</v>
      </c>
      <c r="I864">
        <v>4</v>
      </c>
      <c r="J864">
        <v>332</v>
      </c>
      <c r="K864">
        <v>1328</v>
      </c>
      <c r="L8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65" spans="1:12" x14ac:dyDescent="0.3">
      <c r="A865">
        <v>864</v>
      </c>
      <c r="B865" s="1">
        <v>45000</v>
      </c>
      <c r="C865" s="1" t="str">
        <f>TEXT(RetailStore[[#This Row],[Date]],"mmm")</f>
        <v>Mar</v>
      </c>
      <c r="D865">
        <v>2023</v>
      </c>
      <c r="E865" t="s">
        <v>878</v>
      </c>
      <c r="F865" t="s">
        <v>11</v>
      </c>
      <c r="G865">
        <v>57</v>
      </c>
      <c r="H865" t="s">
        <v>12</v>
      </c>
      <c r="I865">
        <v>3</v>
      </c>
      <c r="J865">
        <v>110</v>
      </c>
      <c r="K865">
        <v>330</v>
      </c>
      <c r="L8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66" spans="1:12" x14ac:dyDescent="0.3">
      <c r="A866">
        <v>865</v>
      </c>
      <c r="B866" s="1">
        <v>45278</v>
      </c>
      <c r="C866" s="1" t="str">
        <f>TEXT(RetailStore[[#This Row],[Date]],"mmm")</f>
        <v>Dec</v>
      </c>
      <c r="D866">
        <v>2023</v>
      </c>
      <c r="E866" t="s">
        <v>879</v>
      </c>
      <c r="F866" t="s">
        <v>18</v>
      </c>
      <c r="G866">
        <v>47</v>
      </c>
      <c r="H866" t="s">
        <v>12</v>
      </c>
      <c r="I866">
        <v>1</v>
      </c>
      <c r="J866">
        <v>142</v>
      </c>
      <c r="K866">
        <v>142</v>
      </c>
      <c r="L8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67" spans="1:12" x14ac:dyDescent="0.3">
      <c r="A867">
        <v>866</v>
      </c>
      <c r="B867" s="1">
        <v>45120</v>
      </c>
      <c r="C867" s="1" t="str">
        <f>TEXT(RetailStore[[#This Row],[Date]],"mmm")</f>
        <v>Jul</v>
      </c>
      <c r="D867">
        <v>2023</v>
      </c>
      <c r="E867" t="s">
        <v>880</v>
      </c>
      <c r="F867" t="s">
        <v>18</v>
      </c>
      <c r="G867">
        <v>26</v>
      </c>
      <c r="H867" t="s">
        <v>15</v>
      </c>
      <c r="I867">
        <v>1</v>
      </c>
      <c r="J867">
        <v>128</v>
      </c>
      <c r="K867">
        <v>128</v>
      </c>
      <c r="L8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68" spans="1:12" x14ac:dyDescent="0.3">
      <c r="A868">
        <v>867</v>
      </c>
      <c r="B868" s="1">
        <v>45194</v>
      </c>
      <c r="C868" s="1" t="str">
        <f>TEXT(RetailStore[[#This Row],[Date]],"mmm")</f>
        <v>Sep</v>
      </c>
      <c r="D868">
        <v>2023</v>
      </c>
      <c r="E868" t="s">
        <v>881</v>
      </c>
      <c r="F868" t="s">
        <v>18</v>
      </c>
      <c r="G868">
        <v>27</v>
      </c>
      <c r="H868" t="s">
        <v>12</v>
      </c>
      <c r="I868">
        <v>1</v>
      </c>
      <c r="J868">
        <v>115</v>
      </c>
      <c r="K868">
        <v>115</v>
      </c>
      <c r="L8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69" spans="1:12" x14ac:dyDescent="0.3">
      <c r="A869">
        <v>868</v>
      </c>
      <c r="B869" s="1">
        <v>45170</v>
      </c>
      <c r="C869" s="1" t="str">
        <f>TEXT(RetailStore[[#This Row],[Date]],"mmm")</f>
        <v>Sep</v>
      </c>
      <c r="D869">
        <v>2023</v>
      </c>
      <c r="E869" t="s">
        <v>882</v>
      </c>
      <c r="F869" t="s">
        <v>11</v>
      </c>
      <c r="G869">
        <v>52</v>
      </c>
      <c r="H869" t="s">
        <v>12</v>
      </c>
      <c r="I869">
        <v>1</v>
      </c>
      <c r="J869">
        <v>72</v>
      </c>
      <c r="K869">
        <v>72</v>
      </c>
      <c r="L8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70" spans="1:12" x14ac:dyDescent="0.3">
      <c r="A870">
        <v>869</v>
      </c>
      <c r="B870" s="1">
        <v>45173</v>
      </c>
      <c r="C870" s="1" t="str">
        <f>TEXT(RetailStore[[#This Row],[Date]],"mmm")</f>
        <v>Sep</v>
      </c>
      <c r="D870">
        <v>2023</v>
      </c>
      <c r="E870" t="s">
        <v>883</v>
      </c>
      <c r="F870" t="s">
        <v>11</v>
      </c>
      <c r="G870">
        <v>56</v>
      </c>
      <c r="H870" t="s">
        <v>12</v>
      </c>
      <c r="I870">
        <v>1</v>
      </c>
      <c r="J870">
        <v>484</v>
      </c>
      <c r="K870">
        <v>484</v>
      </c>
      <c r="L8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71" spans="1:12" x14ac:dyDescent="0.3">
      <c r="A871">
        <v>870</v>
      </c>
      <c r="B871" s="1">
        <v>45274</v>
      </c>
      <c r="C871" s="1" t="str">
        <f>TEXT(RetailStore[[#This Row],[Date]],"mmm")</f>
        <v>Dec</v>
      </c>
      <c r="D871">
        <v>2023</v>
      </c>
      <c r="E871" t="s">
        <v>884</v>
      </c>
      <c r="F871" t="s">
        <v>18</v>
      </c>
      <c r="G871">
        <v>51</v>
      </c>
      <c r="H871" t="s">
        <v>20</v>
      </c>
      <c r="I871">
        <v>3</v>
      </c>
      <c r="J871">
        <v>472</v>
      </c>
      <c r="K871">
        <v>1416</v>
      </c>
      <c r="L8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72" spans="1:12" x14ac:dyDescent="0.3">
      <c r="A872">
        <v>871</v>
      </c>
      <c r="B872" s="1">
        <v>44949</v>
      </c>
      <c r="C872" s="1" t="str">
        <f>TEXT(RetailStore[[#This Row],[Date]],"mmm")</f>
        <v>Jan</v>
      </c>
      <c r="D872">
        <v>2023</v>
      </c>
      <c r="E872" t="s">
        <v>885</v>
      </c>
      <c r="F872" t="s">
        <v>18</v>
      </c>
      <c r="G872">
        <v>32</v>
      </c>
      <c r="H872" t="s">
        <v>20</v>
      </c>
      <c r="I872">
        <v>4</v>
      </c>
      <c r="J872">
        <v>204</v>
      </c>
      <c r="K872">
        <v>816</v>
      </c>
      <c r="L8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73" spans="1:12" x14ac:dyDescent="0.3">
      <c r="A873">
        <v>872</v>
      </c>
      <c r="B873" s="1">
        <v>45228</v>
      </c>
      <c r="C873" s="1" t="str">
        <f>TEXT(RetailStore[[#This Row],[Date]],"mmm")</f>
        <v>Oct</v>
      </c>
      <c r="D873">
        <v>2023</v>
      </c>
      <c r="E873" t="s">
        <v>886</v>
      </c>
      <c r="F873" t="s">
        <v>11</v>
      </c>
      <c r="G873">
        <v>45</v>
      </c>
      <c r="H873" t="s">
        <v>15</v>
      </c>
      <c r="I873">
        <v>3</v>
      </c>
      <c r="J873">
        <v>269</v>
      </c>
      <c r="K873">
        <v>807</v>
      </c>
      <c r="L8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74" spans="1:12" x14ac:dyDescent="0.3">
      <c r="A874">
        <v>873</v>
      </c>
      <c r="B874" s="1">
        <v>45046</v>
      </c>
      <c r="C874" s="1" t="str">
        <f>TEXT(RetailStore[[#This Row],[Date]],"mmm")</f>
        <v>Apr</v>
      </c>
      <c r="D874">
        <v>2023</v>
      </c>
      <c r="E874" t="s">
        <v>887</v>
      </c>
      <c r="F874" t="s">
        <v>11</v>
      </c>
      <c r="G874">
        <v>36</v>
      </c>
      <c r="H874" t="s">
        <v>12</v>
      </c>
      <c r="I874">
        <v>4</v>
      </c>
      <c r="J874">
        <v>156</v>
      </c>
      <c r="K874">
        <v>624</v>
      </c>
      <c r="L8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75" spans="1:12" x14ac:dyDescent="0.3">
      <c r="A875">
        <v>874</v>
      </c>
      <c r="B875" s="1">
        <v>45023</v>
      </c>
      <c r="C875" s="1" t="str">
        <f>TEXT(RetailStore[[#This Row],[Date]],"mmm")</f>
        <v>Apr</v>
      </c>
      <c r="D875">
        <v>2023</v>
      </c>
      <c r="E875" t="s">
        <v>888</v>
      </c>
      <c r="F875" t="s">
        <v>11</v>
      </c>
      <c r="G875">
        <v>63</v>
      </c>
      <c r="H875" t="s">
        <v>12</v>
      </c>
      <c r="I875">
        <v>1</v>
      </c>
      <c r="J875">
        <v>320</v>
      </c>
      <c r="K875">
        <v>320</v>
      </c>
      <c r="L8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76" spans="1:12" x14ac:dyDescent="0.3">
      <c r="A876">
        <v>875</v>
      </c>
      <c r="B876" s="1">
        <v>45194</v>
      </c>
      <c r="C876" s="1" t="str">
        <f>TEXT(RetailStore[[#This Row],[Date]],"mmm")</f>
        <v>Sep</v>
      </c>
      <c r="D876">
        <v>2023</v>
      </c>
      <c r="E876" t="s">
        <v>889</v>
      </c>
      <c r="F876" t="s">
        <v>11</v>
      </c>
      <c r="G876">
        <v>51</v>
      </c>
      <c r="H876" t="s">
        <v>15</v>
      </c>
      <c r="I876">
        <v>4</v>
      </c>
      <c r="J876">
        <v>360</v>
      </c>
      <c r="K876">
        <v>1440</v>
      </c>
      <c r="L8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77" spans="1:12" x14ac:dyDescent="0.3">
      <c r="A877">
        <v>876</v>
      </c>
      <c r="B877" s="1">
        <v>45032</v>
      </c>
      <c r="C877" s="1" t="str">
        <f>TEXT(RetailStore[[#This Row],[Date]],"mmm")</f>
        <v>Apr</v>
      </c>
      <c r="D877">
        <v>2023</v>
      </c>
      <c r="E877" t="s">
        <v>890</v>
      </c>
      <c r="F877" t="s">
        <v>18</v>
      </c>
      <c r="G877">
        <v>44</v>
      </c>
      <c r="H877" t="s">
        <v>20</v>
      </c>
      <c r="I877">
        <v>1</v>
      </c>
      <c r="J877">
        <v>104</v>
      </c>
      <c r="K877">
        <v>104</v>
      </c>
      <c r="L8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78" spans="1:12" x14ac:dyDescent="0.3">
      <c r="A878">
        <v>877</v>
      </c>
      <c r="B878" s="1">
        <v>45145</v>
      </c>
      <c r="C878" s="1" t="str">
        <f>TEXT(RetailStore[[#This Row],[Date]],"mmm")</f>
        <v>Aug</v>
      </c>
      <c r="D878">
        <v>2023</v>
      </c>
      <c r="E878" t="s">
        <v>891</v>
      </c>
      <c r="F878" t="s">
        <v>18</v>
      </c>
      <c r="G878">
        <v>34</v>
      </c>
      <c r="H878" t="s">
        <v>12</v>
      </c>
      <c r="I878">
        <v>4</v>
      </c>
      <c r="J878">
        <v>314</v>
      </c>
      <c r="K878">
        <v>1256</v>
      </c>
      <c r="L8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79" spans="1:12" x14ac:dyDescent="0.3">
      <c r="A879">
        <v>878</v>
      </c>
      <c r="B879" s="1">
        <v>45114</v>
      </c>
      <c r="C879" s="1" t="str">
        <f>TEXT(RetailStore[[#This Row],[Date]],"mmm")</f>
        <v>Jul</v>
      </c>
      <c r="D879">
        <v>2023</v>
      </c>
      <c r="E879" t="s">
        <v>892</v>
      </c>
      <c r="F879" t="s">
        <v>18</v>
      </c>
      <c r="G879">
        <v>61</v>
      </c>
      <c r="H879" t="s">
        <v>20</v>
      </c>
      <c r="I879">
        <v>2</v>
      </c>
      <c r="J879">
        <v>236</v>
      </c>
      <c r="K879">
        <v>472</v>
      </c>
      <c r="L8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80" spans="1:12" x14ac:dyDescent="0.3">
      <c r="A880">
        <v>879</v>
      </c>
      <c r="B880" s="1">
        <v>45209</v>
      </c>
      <c r="C880" s="1" t="str">
        <f>TEXT(RetailStore[[#This Row],[Date]],"mmm")</f>
        <v>Oct</v>
      </c>
      <c r="D880">
        <v>2023</v>
      </c>
      <c r="E880" t="s">
        <v>893</v>
      </c>
      <c r="F880" t="s">
        <v>18</v>
      </c>
      <c r="G880">
        <v>29</v>
      </c>
      <c r="H880" t="s">
        <v>20</v>
      </c>
      <c r="I880">
        <v>4</v>
      </c>
      <c r="J880">
        <v>154</v>
      </c>
      <c r="K880">
        <v>616</v>
      </c>
      <c r="L8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81" spans="1:12" x14ac:dyDescent="0.3">
      <c r="A881">
        <v>880</v>
      </c>
      <c r="B881" s="1">
        <v>45084</v>
      </c>
      <c r="C881" s="1" t="str">
        <f>TEXT(RetailStore[[#This Row],[Date]],"mmm")</f>
        <v>Jun</v>
      </c>
      <c r="D881">
        <v>2023</v>
      </c>
      <c r="E881" t="s">
        <v>894</v>
      </c>
      <c r="F881" t="s">
        <v>18</v>
      </c>
      <c r="G881">
        <v>63</v>
      </c>
      <c r="H881" t="s">
        <v>20</v>
      </c>
      <c r="I881">
        <v>2</v>
      </c>
      <c r="J881">
        <v>462</v>
      </c>
      <c r="K881">
        <v>924</v>
      </c>
      <c r="L8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82" spans="1:12" x14ac:dyDescent="0.3">
      <c r="A882">
        <v>881</v>
      </c>
      <c r="B882" s="1">
        <v>45264</v>
      </c>
      <c r="C882" s="1" t="str">
        <f>TEXT(RetailStore[[#This Row],[Date]],"mmm")</f>
        <v>Dec</v>
      </c>
      <c r="D882">
        <v>2023</v>
      </c>
      <c r="E882" t="s">
        <v>895</v>
      </c>
      <c r="F882" t="s">
        <v>11</v>
      </c>
      <c r="G882">
        <v>32</v>
      </c>
      <c r="H882" t="s">
        <v>20</v>
      </c>
      <c r="I882">
        <v>2</v>
      </c>
      <c r="J882">
        <v>76</v>
      </c>
      <c r="K882">
        <v>152</v>
      </c>
      <c r="L8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83" spans="1:12" x14ac:dyDescent="0.3">
      <c r="A883">
        <v>882</v>
      </c>
      <c r="B883" s="1">
        <v>45036</v>
      </c>
      <c r="C883" s="1" t="str">
        <f>TEXT(RetailStore[[#This Row],[Date]],"mmm")</f>
        <v>Apr</v>
      </c>
      <c r="D883">
        <v>2023</v>
      </c>
      <c r="E883" t="s">
        <v>896</v>
      </c>
      <c r="F883" t="s">
        <v>18</v>
      </c>
      <c r="G883">
        <v>39</v>
      </c>
      <c r="H883" t="s">
        <v>12</v>
      </c>
      <c r="I883">
        <v>1</v>
      </c>
      <c r="J883">
        <v>107</v>
      </c>
      <c r="K883">
        <v>107</v>
      </c>
      <c r="L8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84" spans="1:12" x14ac:dyDescent="0.3">
      <c r="A884">
        <v>883</v>
      </c>
      <c r="B884" s="1">
        <v>45126</v>
      </c>
      <c r="C884" s="1" t="str">
        <f>TEXT(RetailStore[[#This Row],[Date]],"mmm")</f>
        <v>Jul</v>
      </c>
      <c r="D884">
        <v>2023</v>
      </c>
      <c r="E884" t="s">
        <v>897</v>
      </c>
      <c r="F884" t="s">
        <v>11</v>
      </c>
      <c r="G884">
        <v>23</v>
      </c>
      <c r="H884" t="s">
        <v>15</v>
      </c>
      <c r="I884">
        <v>4</v>
      </c>
      <c r="J884">
        <v>499</v>
      </c>
      <c r="K884">
        <v>1996</v>
      </c>
      <c r="L8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85" spans="1:12" x14ac:dyDescent="0.3">
      <c r="A885">
        <v>884</v>
      </c>
      <c r="B885" s="1">
        <v>45234</v>
      </c>
      <c r="C885" s="1" t="str">
        <f>TEXT(RetailStore[[#This Row],[Date]],"mmm")</f>
        <v>Nov</v>
      </c>
      <c r="D885">
        <v>2023</v>
      </c>
      <c r="E885" t="s">
        <v>898</v>
      </c>
      <c r="F885" t="s">
        <v>18</v>
      </c>
      <c r="G885">
        <v>23</v>
      </c>
      <c r="H885" t="s">
        <v>15</v>
      </c>
      <c r="I885">
        <v>3</v>
      </c>
      <c r="J885">
        <v>138</v>
      </c>
      <c r="K885">
        <v>414</v>
      </c>
      <c r="L8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86" spans="1:12" x14ac:dyDescent="0.3">
      <c r="A886">
        <v>885</v>
      </c>
      <c r="B886" s="1">
        <v>45116</v>
      </c>
      <c r="C886" s="1" t="str">
        <f>TEXT(RetailStore[[#This Row],[Date]],"mmm")</f>
        <v>Jul</v>
      </c>
      <c r="D886">
        <v>2023</v>
      </c>
      <c r="E886" t="s">
        <v>899</v>
      </c>
      <c r="F886" t="s">
        <v>11</v>
      </c>
      <c r="G886">
        <v>56</v>
      </c>
      <c r="H886" t="s">
        <v>15</v>
      </c>
      <c r="I886">
        <v>4</v>
      </c>
      <c r="J886">
        <v>230</v>
      </c>
      <c r="K886">
        <v>920</v>
      </c>
      <c r="L8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87" spans="1:12" x14ac:dyDescent="0.3">
      <c r="A887">
        <v>886</v>
      </c>
      <c r="B887" s="1">
        <v>45241</v>
      </c>
      <c r="C887" s="1" t="str">
        <f>TEXT(RetailStore[[#This Row],[Date]],"mmm")</f>
        <v>Nov</v>
      </c>
      <c r="D887">
        <v>2023</v>
      </c>
      <c r="E887" t="s">
        <v>900</v>
      </c>
      <c r="F887" t="s">
        <v>18</v>
      </c>
      <c r="G887">
        <v>63</v>
      </c>
      <c r="H887" t="s">
        <v>12</v>
      </c>
      <c r="I887">
        <v>1</v>
      </c>
      <c r="J887">
        <v>421</v>
      </c>
      <c r="K887">
        <v>421</v>
      </c>
      <c r="L8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88" spans="1:12" x14ac:dyDescent="0.3">
      <c r="A888">
        <v>887</v>
      </c>
      <c r="B888" s="1">
        <v>45016</v>
      </c>
      <c r="C888" s="1" t="str">
        <f>TEXT(RetailStore[[#This Row],[Date]],"mmm")</f>
        <v>Mar</v>
      </c>
      <c r="D888">
        <v>2023</v>
      </c>
      <c r="E888" t="s">
        <v>901</v>
      </c>
      <c r="F888" t="s">
        <v>18</v>
      </c>
      <c r="G888">
        <v>46</v>
      </c>
      <c r="H888" t="s">
        <v>15</v>
      </c>
      <c r="I888">
        <v>2</v>
      </c>
      <c r="J888">
        <v>460</v>
      </c>
      <c r="K888">
        <v>920</v>
      </c>
      <c r="L8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89" spans="1:12" x14ac:dyDescent="0.3">
      <c r="A889">
        <v>888</v>
      </c>
      <c r="B889" s="1">
        <v>45263</v>
      </c>
      <c r="C889" s="1" t="str">
        <f>TEXT(RetailStore[[#This Row],[Date]],"mmm")</f>
        <v>Dec</v>
      </c>
      <c r="D889">
        <v>2023</v>
      </c>
      <c r="E889" t="s">
        <v>902</v>
      </c>
      <c r="F889" t="s">
        <v>18</v>
      </c>
      <c r="G889">
        <v>30</v>
      </c>
      <c r="H889" t="s">
        <v>15</v>
      </c>
      <c r="I889">
        <v>2</v>
      </c>
      <c r="J889">
        <v>339</v>
      </c>
      <c r="K889">
        <v>678</v>
      </c>
      <c r="L8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90" spans="1:12" x14ac:dyDescent="0.3">
      <c r="A890">
        <v>889</v>
      </c>
      <c r="B890" s="1">
        <v>45013</v>
      </c>
      <c r="C890" s="1" t="str">
        <f>TEXT(RetailStore[[#This Row],[Date]],"mmm")</f>
        <v>Mar</v>
      </c>
      <c r="D890">
        <v>2023</v>
      </c>
      <c r="E890" t="s">
        <v>903</v>
      </c>
      <c r="F890" t="s">
        <v>11</v>
      </c>
      <c r="G890">
        <v>41</v>
      </c>
      <c r="H890" t="s">
        <v>15</v>
      </c>
      <c r="I890">
        <v>1</v>
      </c>
      <c r="J890">
        <v>105</v>
      </c>
      <c r="K890">
        <v>105</v>
      </c>
      <c r="L8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91" spans="1:12" x14ac:dyDescent="0.3">
      <c r="A891">
        <v>890</v>
      </c>
      <c r="B891" s="1">
        <v>44971</v>
      </c>
      <c r="C891" s="1" t="str">
        <f>TEXT(RetailStore[[#This Row],[Date]],"mmm")</f>
        <v>Feb</v>
      </c>
      <c r="D891">
        <v>2023</v>
      </c>
      <c r="E891" t="s">
        <v>904</v>
      </c>
      <c r="F891" t="s">
        <v>18</v>
      </c>
      <c r="G891">
        <v>43</v>
      </c>
      <c r="H891" t="s">
        <v>20</v>
      </c>
      <c r="I891">
        <v>4</v>
      </c>
      <c r="J891">
        <v>232</v>
      </c>
      <c r="K891">
        <v>928</v>
      </c>
      <c r="L8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92" spans="1:12" x14ac:dyDescent="0.3">
      <c r="A892">
        <v>891</v>
      </c>
      <c r="B892" s="1">
        <v>45227</v>
      </c>
      <c r="C892" s="1" t="str">
        <f>TEXT(RetailStore[[#This Row],[Date]],"mmm")</f>
        <v>Oct</v>
      </c>
      <c r="D892">
        <v>2023</v>
      </c>
      <c r="E892" t="s">
        <v>905</v>
      </c>
      <c r="F892" t="s">
        <v>11</v>
      </c>
      <c r="G892">
        <v>51</v>
      </c>
      <c r="H892" t="s">
        <v>15</v>
      </c>
      <c r="I892">
        <v>1</v>
      </c>
      <c r="J892">
        <v>495</v>
      </c>
      <c r="K892">
        <v>495</v>
      </c>
      <c r="L8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93" spans="1:12" x14ac:dyDescent="0.3">
      <c r="A893">
        <v>892</v>
      </c>
      <c r="B893" s="1">
        <v>44973</v>
      </c>
      <c r="C893" s="1" t="str">
        <f>TEXT(RetailStore[[#This Row],[Date]],"mmm")</f>
        <v>Feb</v>
      </c>
      <c r="D893">
        <v>2023</v>
      </c>
      <c r="E893" t="s">
        <v>906</v>
      </c>
      <c r="F893" t="s">
        <v>18</v>
      </c>
      <c r="G893">
        <v>64</v>
      </c>
      <c r="H893" t="s">
        <v>12</v>
      </c>
      <c r="I893">
        <v>3</v>
      </c>
      <c r="J893">
        <v>202</v>
      </c>
      <c r="K893">
        <v>606</v>
      </c>
      <c r="L8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94" spans="1:12" x14ac:dyDescent="0.3">
      <c r="A894">
        <v>893</v>
      </c>
      <c r="B894" s="1">
        <v>45068</v>
      </c>
      <c r="C894" s="1" t="str">
        <f>TEXT(RetailStore[[#This Row],[Date]],"mmm")</f>
        <v>May</v>
      </c>
      <c r="D894">
        <v>2023</v>
      </c>
      <c r="E894" t="s">
        <v>907</v>
      </c>
      <c r="F894" t="s">
        <v>11</v>
      </c>
      <c r="G894">
        <v>56</v>
      </c>
      <c r="H894" t="s">
        <v>15</v>
      </c>
      <c r="I894">
        <v>4</v>
      </c>
      <c r="J894">
        <v>231</v>
      </c>
      <c r="K894">
        <v>924</v>
      </c>
      <c r="L8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895" spans="1:12" x14ac:dyDescent="0.3">
      <c r="A895">
        <v>894</v>
      </c>
      <c r="B895" s="1">
        <v>45221</v>
      </c>
      <c r="C895" s="1" t="str">
        <f>TEXT(RetailStore[[#This Row],[Date]],"mmm")</f>
        <v>Oct</v>
      </c>
      <c r="D895">
        <v>2023</v>
      </c>
      <c r="E895" t="s">
        <v>908</v>
      </c>
      <c r="F895" t="s">
        <v>11</v>
      </c>
      <c r="G895">
        <v>34</v>
      </c>
      <c r="H895" t="s">
        <v>15</v>
      </c>
      <c r="I895">
        <v>4</v>
      </c>
      <c r="J895">
        <v>284</v>
      </c>
      <c r="K895">
        <v>1136</v>
      </c>
      <c r="L8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96" spans="1:12" x14ac:dyDescent="0.3">
      <c r="A896">
        <v>895</v>
      </c>
      <c r="B896" s="1">
        <v>44981</v>
      </c>
      <c r="C896" s="1" t="str">
        <f>TEXT(RetailStore[[#This Row],[Date]],"mmm")</f>
        <v>Feb</v>
      </c>
      <c r="D896">
        <v>2023</v>
      </c>
      <c r="E896" t="s">
        <v>909</v>
      </c>
      <c r="F896" t="s">
        <v>11</v>
      </c>
      <c r="G896">
        <v>50</v>
      </c>
      <c r="H896" t="s">
        <v>20</v>
      </c>
      <c r="I896">
        <v>3</v>
      </c>
      <c r="J896">
        <v>84</v>
      </c>
      <c r="K896">
        <v>252</v>
      </c>
      <c r="L8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897" spans="1:12" x14ac:dyDescent="0.3">
      <c r="A897">
        <v>896</v>
      </c>
      <c r="B897" s="1">
        <v>45189</v>
      </c>
      <c r="C897" s="1" t="str">
        <f>TEXT(RetailStore[[#This Row],[Date]],"mmm")</f>
        <v>Sep</v>
      </c>
      <c r="D897">
        <v>2023</v>
      </c>
      <c r="E897" t="s">
        <v>910</v>
      </c>
      <c r="F897" t="s">
        <v>18</v>
      </c>
      <c r="G897">
        <v>52</v>
      </c>
      <c r="H897" t="s">
        <v>12</v>
      </c>
      <c r="I897">
        <v>3</v>
      </c>
      <c r="J897">
        <v>380</v>
      </c>
      <c r="K897">
        <v>1140</v>
      </c>
      <c r="L8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98" spans="1:12" x14ac:dyDescent="0.3">
      <c r="A898">
        <v>897</v>
      </c>
      <c r="B898" s="1">
        <v>45153</v>
      </c>
      <c r="C898" s="1" t="str">
        <f>TEXT(RetailStore[[#This Row],[Date]],"mmm")</f>
        <v>Aug</v>
      </c>
      <c r="D898">
        <v>2023</v>
      </c>
      <c r="E898" t="s">
        <v>911</v>
      </c>
      <c r="F898" t="s">
        <v>18</v>
      </c>
      <c r="G898">
        <v>54</v>
      </c>
      <c r="H898" t="s">
        <v>20</v>
      </c>
      <c r="I898">
        <v>2</v>
      </c>
      <c r="J898">
        <v>412</v>
      </c>
      <c r="K898">
        <v>824</v>
      </c>
      <c r="L8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899" spans="1:12" x14ac:dyDescent="0.3">
      <c r="A899">
        <v>898</v>
      </c>
      <c r="B899" s="1">
        <v>45100</v>
      </c>
      <c r="C899" s="1" t="str">
        <f>TEXT(RetailStore[[#This Row],[Date]],"mmm")</f>
        <v>Jun</v>
      </c>
      <c r="D899">
        <v>2023</v>
      </c>
      <c r="E899" t="s">
        <v>912</v>
      </c>
      <c r="F899" t="s">
        <v>18</v>
      </c>
      <c r="G899">
        <v>61</v>
      </c>
      <c r="H899" t="s">
        <v>20</v>
      </c>
      <c r="I899">
        <v>1</v>
      </c>
      <c r="J899">
        <v>271</v>
      </c>
      <c r="K899">
        <v>271</v>
      </c>
      <c r="L8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00" spans="1:12" x14ac:dyDescent="0.3">
      <c r="A900">
        <v>899</v>
      </c>
      <c r="B900" s="1">
        <v>44986</v>
      </c>
      <c r="C900" s="1" t="str">
        <f>TEXT(RetailStore[[#This Row],[Date]],"mmm")</f>
        <v>Mar</v>
      </c>
      <c r="D900">
        <v>2023</v>
      </c>
      <c r="E900" t="s">
        <v>913</v>
      </c>
      <c r="F900" t="s">
        <v>18</v>
      </c>
      <c r="G900">
        <v>22</v>
      </c>
      <c r="H900" t="s">
        <v>20</v>
      </c>
      <c r="I900">
        <v>2</v>
      </c>
      <c r="J900">
        <v>371</v>
      </c>
      <c r="K900">
        <v>742</v>
      </c>
      <c r="L9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01" spans="1:12" x14ac:dyDescent="0.3">
      <c r="A901">
        <v>900</v>
      </c>
      <c r="B901" s="1">
        <v>45286</v>
      </c>
      <c r="C901" s="1" t="str">
        <f>TEXT(RetailStore[[#This Row],[Date]],"mmm")</f>
        <v>Dec</v>
      </c>
      <c r="D901">
        <v>2023</v>
      </c>
      <c r="E901" t="s">
        <v>914</v>
      </c>
      <c r="F901" t="s">
        <v>11</v>
      </c>
      <c r="G901">
        <v>38</v>
      </c>
      <c r="H901" t="s">
        <v>20</v>
      </c>
      <c r="I901">
        <v>3</v>
      </c>
      <c r="J901">
        <v>289</v>
      </c>
      <c r="K901">
        <v>867</v>
      </c>
      <c r="L9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02" spans="1:12" x14ac:dyDescent="0.3">
      <c r="A902">
        <v>901</v>
      </c>
      <c r="B902" s="1">
        <v>45201</v>
      </c>
      <c r="C902" s="1" t="str">
        <f>TEXT(RetailStore[[#This Row],[Date]],"mmm")</f>
        <v>Oct</v>
      </c>
      <c r="D902">
        <v>2023</v>
      </c>
      <c r="E902" t="s">
        <v>915</v>
      </c>
      <c r="F902" t="s">
        <v>11</v>
      </c>
      <c r="G902">
        <v>62</v>
      </c>
      <c r="H902" t="s">
        <v>20</v>
      </c>
      <c r="I902">
        <v>2</v>
      </c>
      <c r="J902">
        <v>172</v>
      </c>
      <c r="K902">
        <v>344</v>
      </c>
      <c r="L9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03" spans="1:12" x14ac:dyDescent="0.3">
      <c r="A903">
        <v>902</v>
      </c>
      <c r="B903" s="1">
        <v>44974</v>
      </c>
      <c r="C903" s="1" t="str">
        <f>TEXT(RetailStore[[#This Row],[Date]],"mmm")</f>
        <v>Feb</v>
      </c>
      <c r="D903">
        <v>2023</v>
      </c>
      <c r="E903" t="s">
        <v>916</v>
      </c>
      <c r="F903" t="s">
        <v>18</v>
      </c>
      <c r="G903">
        <v>61</v>
      </c>
      <c r="H903" t="s">
        <v>12</v>
      </c>
      <c r="I903">
        <v>3</v>
      </c>
      <c r="J903">
        <v>63</v>
      </c>
      <c r="K903">
        <v>189</v>
      </c>
      <c r="L9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04" spans="1:12" x14ac:dyDescent="0.3">
      <c r="A904">
        <v>903</v>
      </c>
      <c r="B904" s="1">
        <v>45210</v>
      </c>
      <c r="C904" s="1" t="str">
        <f>TEXT(RetailStore[[#This Row],[Date]],"mmm")</f>
        <v>Oct</v>
      </c>
      <c r="D904">
        <v>2023</v>
      </c>
      <c r="E904" t="s">
        <v>917</v>
      </c>
      <c r="F904" t="s">
        <v>11</v>
      </c>
      <c r="G904">
        <v>48</v>
      </c>
      <c r="H904" t="s">
        <v>20</v>
      </c>
      <c r="I904">
        <v>3</v>
      </c>
      <c r="J904">
        <v>136</v>
      </c>
      <c r="K904">
        <v>408</v>
      </c>
      <c r="L9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05" spans="1:12" x14ac:dyDescent="0.3">
      <c r="A905">
        <v>904</v>
      </c>
      <c r="B905" s="1">
        <v>45220</v>
      </c>
      <c r="C905" s="1" t="str">
        <f>TEXT(RetailStore[[#This Row],[Date]],"mmm")</f>
        <v>Oct</v>
      </c>
      <c r="D905">
        <v>2023</v>
      </c>
      <c r="E905" t="s">
        <v>918</v>
      </c>
      <c r="F905" t="s">
        <v>18</v>
      </c>
      <c r="G905">
        <v>29</v>
      </c>
      <c r="H905" t="s">
        <v>12</v>
      </c>
      <c r="I905">
        <v>2</v>
      </c>
      <c r="J905">
        <v>280</v>
      </c>
      <c r="K905">
        <v>560</v>
      </c>
      <c r="L9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06" spans="1:12" x14ac:dyDescent="0.3">
      <c r="A906">
        <v>905</v>
      </c>
      <c r="B906" s="1">
        <v>45029</v>
      </c>
      <c r="C906" s="1" t="str">
        <f>TEXT(RetailStore[[#This Row],[Date]],"mmm")</f>
        <v>Apr</v>
      </c>
      <c r="D906">
        <v>2023</v>
      </c>
      <c r="E906" t="s">
        <v>919</v>
      </c>
      <c r="F906" t="s">
        <v>11</v>
      </c>
      <c r="G906">
        <v>33</v>
      </c>
      <c r="H906" t="s">
        <v>20</v>
      </c>
      <c r="I906">
        <v>2</v>
      </c>
      <c r="J906">
        <v>142</v>
      </c>
      <c r="K906">
        <v>284</v>
      </c>
      <c r="L9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07" spans="1:12" x14ac:dyDescent="0.3">
      <c r="A907">
        <v>906</v>
      </c>
      <c r="B907" s="1">
        <v>45030</v>
      </c>
      <c r="C907" s="1" t="str">
        <f>TEXT(RetailStore[[#This Row],[Date]],"mmm")</f>
        <v>Apr</v>
      </c>
      <c r="D907">
        <v>2023</v>
      </c>
      <c r="E907" t="s">
        <v>920</v>
      </c>
      <c r="F907" t="s">
        <v>11</v>
      </c>
      <c r="G907">
        <v>57</v>
      </c>
      <c r="H907" t="s">
        <v>20</v>
      </c>
      <c r="I907">
        <v>2</v>
      </c>
      <c r="J907">
        <v>423</v>
      </c>
      <c r="K907">
        <v>846</v>
      </c>
      <c r="L9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08" spans="1:12" x14ac:dyDescent="0.3">
      <c r="A908">
        <v>907</v>
      </c>
      <c r="B908" s="1">
        <v>44981</v>
      </c>
      <c r="C908" s="1" t="str">
        <f>TEXT(RetailStore[[#This Row],[Date]],"mmm")</f>
        <v>Feb</v>
      </c>
      <c r="D908">
        <v>2023</v>
      </c>
      <c r="E908" t="s">
        <v>921</v>
      </c>
      <c r="F908" t="s">
        <v>11</v>
      </c>
      <c r="G908">
        <v>23</v>
      </c>
      <c r="H908" t="s">
        <v>12</v>
      </c>
      <c r="I908">
        <v>4</v>
      </c>
      <c r="J908">
        <v>339</v>
      </c>
      <c r="K908">
        <v>1356</v>
      </c>
      <c r="L9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09" spans="1:12" x14ac:dyDescent="0.3">
      <c r="A909">
        <v>908</v>
      </c>
      <c r="B909" s="1">
        <v>44930</v>
      </c>
      <c r="C909" s="1" t="str">
        <f>TEXT(RetailStore[[#This Row],[Date]],"mmm")</f>
        <v>Jan</v>
      </c>
      <c r="D909">
        <v>2023</v>
      </c>
      <c r="E909" t="s">
        <v>922</v>
      </c>
      <c r="F909" t="s">
        <v>11</v>
      </c>
      <c r="G909">
        <v>48</v>
      </c>
      <c r="H909" t="s">
        <v>20</v>
      </c>
      <c r="I909">
        <v>3</v>
      </c>
      <c r="J909">
        <v>277</v>
      </c>
      <c r="K909">
        <v>831</v>
      </c>
      <c r="L9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10" spans="1:12" x14ac:dyDescent="0.3">
      <c r="A910">
        <v>909</v>
      </c>
      <c r="B910" s="1">
        <v>45221</v>
      </c>
      <c r="C910" s="1" t="str">
        <f>TEXT(RetailStore[[#This Row],[Date]],"mmm")</f>
        <v>Oct</v>
      </c>
      <c r="D910">
        <v>2023</v>
      </c>
      <c r="E910" t="s">
        <v>923</v>
      </c>
      <c r="F910" t="s">
        <v>18</v>
      </c>
      <c r="G910">
        <v>49</v>
      </c>
      <c r="H910" t="s">
        <v>15</v>
      </c>
      <c r="I910">
        <v>3</v>
      </c>
      <c r="J910">
        <v>228</v>
      </c>
      <c r="K910">
        <v>684</v>
      </c>
      <c r="L9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11" spans="1:12" x14ac:dyDescent="0.3">
      <c r="A911">
        <v>910</v>
      </c>
      <c r="B911" s="1">
        <v>45040</v>
      </c>
      <c r="C911" s="1" t="str">
        <f>TEXT(RetailStore[[#This Row],[Date]],"mmm")</f>
        <v>Apr</v>
      </c>
      <c r="D911">
        <v>2023</v>
      </c>
      <c r="E911" t="s">
        <v>924</v>
      </c>
      <c r="F911" t="s">
        <v>11</v>
      </c>
      <c r="G911">
        <v>21</v>
      </c>
      <c r="H911" t="s">
        <v>12</v>
      </c>
      <c r="I911">
        <v>4</v>
      </c>
      <c r="J911">
        <v>269</v>
      </c>
      <c r="K911">
        <v>1076</v>
      </c>
      <c r="L9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12" spans="1:12" x14ac:dyDescent="0.3">
      <c r="A912">
        <v>911</v>
      </c>
      <c r="B912" s="1">
        <v>45203</v>
      </c>
      <c r="C912" s="1" t="str">
        <f>TEXT(RetailStore[[#This Row],[Date]],"mmm")</f>
        <v>Oct</v>
      </c>
      <c r="D912">
        <v>2023</v>
      </c>
      <c r="E912" t="s">
        <v>925</v>
      </c>
      <c r="F912" t="s">
        <v>11</v>
      </c>
      <c r="G912">
        <v>50</v>
      </c>
      <c r="H912" t="s">
        <v>20</v>
      </c>
      <c r="I912">
        <v>4</v>
      </c>
      <c r="J912">
        <v>465</v>
      </c>
      <c r="K912">
        <v>1860</v>
      </c>
      <c r="L9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13" spans="1:12" x14ac:dyDescent="0.3">
      <c r="A913">
        <v>912</v>
      </c>
      <c r="B913" s="1">
        <v>45278</v>
      </c>
      <c r="C913" s="1" t="str">
        <f>TEXT(RetailStore[[#This Row],[Date]],"mmm")</f>
        <v>Dec</v>
      </c>
      <c r="D913">
        <v>2023</v>
      </c>
      <c r="E913" t="s">
        <v>926</v>
      </c>
      <c r="F913" t="s">
        <v>11</v>
      </c>
      <c r="G913">
        <v>47</v>
      </c>
      <c r="H913" t="s">
        <v>15</v>
      </c>
      <c r="I913">
        <v>4</v>
      </c>
      <c r="J913">
        <v>186</v>
      </c>
      <c r="K913">
        <v>744</v>
      </c>
      <c r="L9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14" spans="1:12" x14ac:dyDescent="0.3">
      <c r="A914">
        <v>913</v>
      </c>
      <c r="B914" s="1">
        <v>45279</v>
      </c>
      <c r="C914" s="1" t="str">
        <f>TEXT(RetailStore[[#This Row],[Date]],"mmm")</f>
        <v>Dec</v>
      </c>
      <c r="D914">
        <v>2023</v>
      </c>
      <c r="E914" t="s">
        <v>927</v>
      </c>
      <c r="F914" t="s">
        <v>11</v>
      </c>
      <c r="G914">
        <v>18</v>
      </c>
      <c r="H914" t="s">
        <v>12</v>
      </c>
      <c r="I914">
        <v>2</v>
      </c>
      <c r="J914">
        <v>219</v>
      </c>
      <c r="K914">
        <v>438</v>
      </c>
      <c r="L9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15" spans="1:12" x14ac:dyDescent="0.3">
      <c r="A915">
        <v>914</v>
      </c>
      <c r="B915" s="1">
        <v>45224</v>
      </c>
      <c r="C915" s="1" t="str">
        <f>TEXT(RetailStore[[#This Row],[Date]],"mmm")</f>
        <v>Oct</v>
      </c>
      <c r="D915">
        <v>2023</v>
      </c>
      <c r="E915" t="s">
        <v>928</v>
      </c>
      <c r="F915" t="s">
        <v>11</v>
      </c>
      <c r="G915">
        <v>38</v>
      </c>
      <c r="H915" t="s">
        <v>20</v>
      </c>
      <c r="I915">
        <v>3</v>
      </c>
      <c r="J915">
        <v>120</v>
      </c>
      <c r="K915">
        <v>360</v>
      </c>
      <c r="L9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16" spans="1:12" x14ac:dyDescent="0.3">
      <c r="A916">
        <v>915</v>
      </c>
      <c r="B916" s="1">
        <v>45207</v>
      </c>
      <c r="C916" s="1" t="str">
        <f>TEXT(RetailStore[[#This Row],[Date]],"mmm")</f>
        <v>Oct</v>
      </c>
      <c r="D916">
        <v>2023</v>
      </c>
      <c r="E916" t="s">
        <v>929</v>
      </c>
      <c r="F916" t="s">
        <v>18</v>
      </c>
      <c r="G916">
        <v>33</v>
      </c>
      <c r="H916" t="s">
        <v>20</v>
      </c>
      <c r="I916">
        <v>4</v>
      </c>
      <c r="J916">
        <v>338</v>
      </c>
      <c r="K916">
        <v>1352</v>
      </c>
      <c r="L9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17" spans="1:12" x14ac:dyDescent="0.3">
      <c r="A917">
        <v>916</v>
      </c>
      <c r="B917" s="1">
        <v>45102</v>
      </c>
      <c r="C917" s="1" t="str">
        <f>TEXT(RetailStore[[#This Row],[Date]],"mmm")</f>
        <v>Jun</v>
      </c>
      <c r="D917">
        <v>2023</v>
      </c>
      <c r="E917" t="s">
        <v>930</v>
      </c>
      <c r="F917" t="s">
        <v>18</v>
      </c>
      <c r="G917">
        <v>29</v>
      </c>
      <c r="H917" t="s">
        <v>20</v>
      </c>
      <c r="I917">
        <v>4</v>
      </c>
      <c r="J917">
        <v>132</v>
      </c>
      <c r="K917">
        <v>528</v>
      </c>
      <c r="L9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18" spans="1:12" x14ac:dyDescent="0.3">
      <c r="A918">
        <v>917</v>
      </c>
      <c r="B918" s="1">
        <v>45141</v>
      </c>
      <c r="C918" s="1" t="str">
        <f>TEXT(RetailStore[[#This Row],[Date]],"mmm")</f>
        <v>Aug</v>
      </c>
      <c r="D918">
        <v>2023</v>
      </c>
      <c r="E918" t="s">
        <v>931</v>
      </c>
      <c r="F918" t="s">
        <v>18</v>
      </c>
      <c r="G918">
        <v>41</v>
      </c>
      <c r="H918" t="s">
        <v>20</v>
      </c>
      <c r="I918">
        <v>3</v>
      </c>
      <c r="J918">
        <v>255</v>
      </c>
      <c r="K918">
        <v>765</v>
      </c>
      <c r="L9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19" spans="1:12" x14ac:dyDescent="0.3">
      <c r="A919">
        <v>918</v>
      </c>
      <c r="B919" s="1">
        <v>45019</v>
      </c>
      <c r="C919" s="1" t="str">
        <f>TEXT(RetailStore[[#This Row],[Date]],"mmm")</f>
        <v>Apr</v>
      </c>
      <c r="D919">
        <v>2023</v>
      </c>
      <c r="E919" t="s">
        <v>932</v>
      </c>
      <c r="F919" t="s">
        <v>11</v>
      </c>
      <c r="G919">
        <v>54</v>
      </c>
      <c r="H919" t="s">
        <v>12</v>
      </c>
      <c r="I919">
        <v>2</v>
      </c>
      <c r="J919">
        <v>441</v>
      </c>
      <c r="K919">
        <v>882</v>
      </c>
      <c r="L9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20" spans="1:12" x14ac:dyDescent="0.3">
      <c r="A920">
        <v>919</v>
      </c>
      <c r="B920" s="1">
        <v>44978</v>
      </c>
      <c r="C920" s="1" t="str">
        <f>TEXT(RetailStore[[#This Row],[Date]],"mmm")</f>
        <v>Feb</v>
      </c>
      <c r="D920">
        <v>2023</v>
      </c>
      <c r="E920" t="s">
        <v>933</v>
      </c>
      <c r="F920" t="s">
        <v>18</v>
      </c>
      <c r="G920">
        <v>33</v>
      </c>
      <c r="H920" t="s">
        <v>12</v>
      </c>
      <c r="I920">
        <v>4</v>
      </c>
      <c r="J920">
        <v>463</v>
      </c>
      <c r="K920">
        <v>1852</v>
      </c>
      <c r="L9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21" spans="1:12" x14ac:dyDescent="0.3">
      <c r="A921">
        <v>920</v>
      </c>
      <c r="B921" s="1">
        <v>45122</v>
      </c>
      <c r="C921" s="1" t="str">
        <f>TEXT(RetailStore[[#This Row],[Date]],"mmm")</f>
        <v>Jul</v>
      </c>
      <c r="D921">
        <v>2023</v>
      </c>
      <c r="E921" t="s">
        <v>934</v>
      </c>
      <c r="F921" t="s">
        <v>11</v>
      </c>
      <c r="G921">
        <v>27</v>
      </c>
      <c r="H921" t="s">
        <v>12</v>
      </c>
      <c r="I921">
        <v>2</v>
      </c>
      <c r="J921">
        <v>267</v>
      </c>
      <c r="K921">
        <v>534</v>
      </c>
      <c r="L9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22" spans="1:12" x14ac:dyDescent="0.3">
      <c r="A922">
        <v>921</v>
      </c>
      <c r="B922" s="1">
        <v>44931</v>
      </c>
      <c r="C922" s="1" t="str">
        <f>TEXT(RetailStore[[#This Row],[Date]],"mmm")</f>
        <v>Jan</v>
      </c>
      <c r="D922">
        <v>2023</v>
      </c>
      <c r="E922" t="s">
        <v>935</v>
      </c>
      <c r="F922" t="s">
        <v>11</v>
      </c>
      <c r="G922">
        <v>44</v>
      </c>
      <c r="H922" t="s">
        <v>20</v>
      </c>
      <c r="I922">
        <v>2</v>
      </c>
      <c r="J922">
        <v>482</v>
      </c>
      <c r="K922">
        <v>964</v>
      </c>
      <c r="L9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23" spans="1:12" x14ac:dyDescent="0.3">
      <c r="A923">
        <v>922</v>
      </c>
      <c r="B923" s="1">
        <v>45249</v>
      </c>
      <c r="C923" s="1" t="str">
        <f>TEXT(RetailStore[[#This Row],[Date]],"mmm")</f>
        <v>Nov</v>
      </c>
      <c r="D923">
        <v>2023</v>
      </c>
      <c r="E923" t="s">
        <v>936</v>
      </c>
      <c r="F923" t="s">
        <v>18</v>
      </c>
      <c r="G923">
        <v>49</v>
      </c>
      <c r="H923" t="s">
        <v>20</v>
      </c>
      <c r="I923">
        <v>3</v>
      </c>
      <c r="J923">
        <v>312</v>
      </c>
      <c r="K923">
        <v>936</v>
      </c>
      <c r="L9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24" spans="1:12" x14ac:dyDescent="0.3">
      <c r="A924">
        <v>923</v>
      </c>
      <c r="B924" s="1">
        <v>45217</v>
      </c>
      <c r="C924" s="1" t="str">
        <f>TEXT(RetailStore[[#This Row],[Date]],"mmm")</f>
        <v>Oct</v>
      </c>
      <c r="D924">
        <v>2023</v>
      </c>
      <c r="E924" t="s">
        <v>937</v>
      </c>
      <c r="F924" t="s">
        <v>11</v>
      </c>
      <c r="G924">
        <v>43</v>
      </c>
      <c r="H924" t="s">
        <v>15</v>
      </c>
      <c r="I924">
        <v>2</v>
      </c>
      <c r="J924">
        <v>55</v>
      </c>
      <c r="K924">
        <v>110</v>
      </c>
      <c r="L9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25" spans="1:12" x14ac:dyDescent="0.3">
      <c r="A925">
        <v>924</v>
      </c>
      <c r="B925" s="1">
        <v>45037</v>
      </c>
      <c r="C925" s="1" t="str">
        <f>TEXT(RetailStore[[#This Row],[Date]],"mmm")</f>
        <v>Apr</v>
      </c>
      <c r="D925">
        <v>2023</v>
      </c>
      <c r="E925" t="s">
        <v>938</v>
      </c>
      <c r="F925" t="s">
        <v>18</v>
      </c>
      <c r="G925">
        <v>48</v>
      </c>
      <c r="H925" t="s">
        <v>12</v>
      </c>
      <c r="I925">
        <v>1</v>
      </c>
      <c r="J925">
        <v>255</v>
      </c>
      <c r="K925">
        <v>255</v>
      </c>
      <c r="L9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26" spans="1:12" x14ac:dyDescent="0.3">
      <c r="A926">
        <v>925</v>
      </c>
      <c r="B926" s="1">
        <v>45098</v>
      </c>
      <c r="C926" s="1" t="str">
        <f>TEXT(RetailStore[[#This Row],[Date]],"mmm")</f>
        <v>Jun</v>
      </c>
      <c r="D926">
        <v>2023</v>
      </c>
      <c r="E926" t="s">
        <v>939</v>
      </c>
      <c r="F926" t="s">
        <v>18</v>
      </c>
      <c r="G926">
        <v>41</v>
      </c>
      <c r="H926" t="s">
        <v>20</v>
      </c>
      <c r="I926">
        <v>3</v>
      </c>
      <c r="J926">
        <v>201</v>
      </c>
      <c r="K926">
        <v>603</v>
      </c>
      <c r="L9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27" spans="1:12" x14ac:dyDescent="0.3">
      <c r="A927">
        <v>926</v>
      </c>
      <c r="B927" s="1">
        <v>44937</v>
      </c>
      <c r="C927" s="1" t="str">
        <f>TEXT(RetailStore[[#This Row],[Date]],"mmm")</f>
        <v>Jan</v>
      </c>
      <c r="D927">
        <v>2023</v>
      </c>
      <c r="E927" t="s">
        <v>940</v>
      </c>
      <c r="F927" t="s">
        <v>18</v>
      </c>
      <c r="G927">
        <v>25</v>
      </c>
      <c r="H927" t="s">
        <v>20</v>
      </c>
      <c r="I927">
        <v>2</v>
      </c>
      <c r="J927">
        <v>320</v>
      </c>
      <c r="K927">
        <v>640</v>
      </c>
      <c r="L9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28" spans="1:12" x14ac:dyDescent="0.3">
      <c r="A928">
        <v>927</v>
      </c>
      <c r="B928" s="1">
        <v>45221</v>
      </c>
      <c r="C928" s="1" t="str">
        <f>TEXT(RetailStore[[#This Row],[Date]],"mmm")</f>
        <v>Oct</v>
      </c>
      <c r="D928">
        <v>2023</v>
      </c>
      <c r="E928" t="s">
        <v>941</v>
      </c>
      <c r="F928" t="s">
        <v>11</v>
      </c>
      <c r="G928">
        <v>36</v>
      </c>
      <c r="H928" t="s">
        <v>20</v>
      </c>
      <c r="I928">
        <v>3</v>
      </c>
      <c r="J928">
        <v>369</v>
      </c>
      <c r="K928">
        <v>1107</v>
      </c>
      <c r="L9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29" spans="1:12" x14ac:dyDescent="0.3">
      <c r="A929">
        <v>928</v>
      </c>
      <c r="B929" s="1">
        <v>45188</v>
      </c>
      <c r="C929" s="1" t="str">
        <f>TEXT(RetailStore[[#This Row],[Date]],"mmm")</f>
        <v>Sep</v>
      </c>
      <c r="D929">
        <v>2023</v>
      </c>
      <c r="E929" t="s">
        <v>942</v>
      </c>
      <c r="F929" t="s">
        <v>18</v>
      </c>
      <c r="G929">
        <v>46</v>
      </c>
      <c r="H929" t="s">
        <v>15</v>
      </c>
      <c r="I929">
        <v>4</v>
      </c>
      <c r="J929">
        <v>339</v>
      </c>
      <c r="K929">
        <v>1356</v>
      </c>
      <c r="L9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30" spans="1:12" x14ac:dyDescent="0.3">
      <c r="A930">
        <v>929</v>
      </c>
      <c r="B930" s="1">
        <v>45073</v>
      </c>
      <c r="C930" s="1" t="str">
        <f>TEXT(RetailStore[[#This Row],[Date]],"mmm")</f>
        <v>May</v>
      </c>
      <c r="D930">
        <v>2023</v>
      </c>
      <c r="E930" t="s">
        <v>943</v>
      </c>
      <c r="F930" t="s">
        <v>18</v>
      </c>
      <c r="G930">
        <v>58</v>
      </c>
      <c r="H930" t="s">
        <v>15</v>
      </c>
      <c r="I930">
        <v>2</v>
      </c>
      <c r="J930">
        <v>352</v>
      </c>
      <c r="K930">
        <v>704</v>
      </c>
      <c r="L9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31" spans="1:12" x14ac:dyDescent="0.3">
      <c r="A931">
        <v>930</v>
      </c>
      <c r="B931" s="1">
        <v>45099</v>
      </c>
      <c r="C931" s="1" t="str">
        <f>TEXT(RetailStore[[#This Row],[Date]],"mmm")</f>
        <v>Jun</v>
      </c>
      <c r="D931">
        <v>2023</v>
      </c>
      <c r="E931" t="s">
        <v>944</v>
      </c>
      <c r="F931" t="s">
        <v>18</v>
      </c>
      <c r="G931">
        <v>58</v>
      </c>
      <c r="H931" t="s">
        <v>12</v>
      </c>
      <c r="I931">
        <v>4</v>
      </c>
      <c r="J931">
        <v>459</v>
      </c>
      <c r="K931">
        <v>1836</v>
      </c>
      <c r="L9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32" spans="1:12" x14ac:dyDescent="0.3">
      <c r="A932">
        <v>931</v>
      </c>
      <c r="B932" s="1">
        <v>44963</v>
      </c>
      <c r="C932" s="1" t="str">
        <f>TEXT(RetailStore[[#This Row],[Date]],"mmm")</f>
        <v>Feb</v>
      </c>
      <c r="D932">
        <v>2023</v>
      </c>
      <c r="E932" t="s">
        <v>945</v>
      </c>
      <c r="F932" t="s">
        <v>11</v>
      </c>
      <c r="G932">
        <v>28</v>
      </c>
      <c r="H932" t="s">
        <v>20</v>
      </c>
      <c r="I932">
        <v>2</v>
      </c>
      <c r="J932">
        <v>185</v>
      </c>
      <c r="K932">
        <v>370</v>
      </c>
      <c r="L9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33" spans="1:12" x14ac:dyDescent="0.3">
      <c r="A933">
        <v>932</v>
      </c>
      <c r="B933" s="1">
        <v>45089</v>
      </c>
      <c r="C933" s="1" t="str">
        <f>TEXT(RetailStore[[#This Row],[Date]],"mmm")</f>
        <v>Jun</v>
      </c>
      <c r="D933">
        <v>2023</v>
      </c>
      <c r="E933" t="s">
        <v>946</v>
      </c>
      <c r="F933" t="s">
        <v>18</v>
      </c>
      <c r="G933">
        <v>63</v>
      </c>
      <c r="H933" t="s">
        <v>20</v>
      </c>
      <c r="I933">
        <v>4</v>
      </c>
      <c r="J933">
        <v>163</v>
      </c>
      <c r="K933">
        <v>652</v>
      </c>
      <c r="L9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34" spans="1:12" x14ac:dyDescent="0.3">
      <c r="A934">
        <v>933</v>
      </c>
      <c r="B934" s="1">
        <v>45154</v>
      </c>
      <c r="C934" s="1" t="str">
        <f>TEXT(RetailStore[[#This Row],[Date]],"mmm")</f>
        <v>Aug</v>
      </c>
      <c r="D934">
        <v>2023</v>
      </c>
      <c r="E934" t="s">
        <v>947</v>
      </c>
      <c r="F934" t="s">
        <v>18</v>
      </c>
      <c r="G934">
        <v>55</v>
      </c>
      <c r="H934" t="s">
        <v>12</v>
      </c>
      <c r="I934">
        <v>4</v>
      </c>
      <c r="J934">
        <v>236</v>
      </c>
      <c r="K934">
        <v>944</v>
      </c>
      <c r="L9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35" spans="1:12" x14ac:dyDescent="0.3">
      <c r="A935">
        <v>934</v>
      </c>
      <c r="B935" s="1">
        <v>45012</v>
      </c>
      <c r="C935" s="1" t="str">
        <f>TEXT(RetailStore[[#This Row],[Date]],"mmm")</f>
        <v>Mar</v>
      </c>
      <c r="D935">
        <v>2023</v>
      </c>
      <c r="E935" t="s">
        <v>948</v>
      </c>
      <c r="F935" t="s">
        <v>11</v>
      </c>
      <c r="G935">
        <v>19</v>
      </c>
      <c r="H935" t="s">
        <v>15</v>
      </c>
      <c r="I935">
        <v>2</v>
      </c>
      <c r="J935">
        <v>363</v>
      </c>
      <c r="K935">
        <v>726</v>
      </c>
      <c r="L9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36" spans="1:12" x14ac:dyDescent="0.3">
      <c r="A936">
        <v>935</v>
      </c>
      <c r="B936" s="1">
        <v>45055</v>
      </c>
      <c r="C936" s="1" t="str">
        <f>TEXT(RetailStore[[#This Row],[Date]],"mmm")</f>
        <v>May</v>
      </c>
      <c r="D936">
        <v>2023</v>
      </c>
      <c r="E936" t="s">
        <v>949</v>
      </c>
      <c r="F936" t="s">
        <v>11</v>
      </c>
      <c r="G936">
        <v>31</v>
      </c>
      <c r="H936" t="s">
        <v>15</v>
      </c>
      <c r="I936">
        <v>4</v>
      </c>
      <c r="J936">
        <v>77</v>
      </c>
      <c r="K936">
        <v>308</v>
      </c>
      <c r="L9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37" spans="1:12" x14ac:dyDescent="0.3">
      <c r="A937">
        <v>936</v>
      </c>
      <c r="B937" s="1">
        <v>44975</v>
      </c>
      <c r="C937" s="1" t="str">
        <f>TEXT(RetailStore[[#This Row],[Date]],"mmm")</f>
        <v>Feb</v>
      </c>
      <c r="D937">
        <v>2023</v>
      </c>
      <c r="E937" t="s">
        <v>950</v>
      </c>
      <c r="F937" t="s">
        <v>11</v>
      </c>
      <c r="G937">
        <v>48</v>
      </c>
      <c r="H937" t="s">
        <v>12</v>
      </c>
      <c r="I937">
        <v>1</v>
      </c>
      <c r="J937">
        <v>38</v>
      </c>
      <c r="K937">
        <v>38</v>
      </c>
      <c r="L9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38" spans="1:12" x14ac:dyDescent="0.3">
      <c r="A938">
        <v>937</v>
      </c>
      <c r="B938" s="1">
        <v>45130</v>
      </c>
      <c r="C938" s="1" t="str">
        <f>TEXT(RetailStore[[#This Row],[Date]],"mmm")</f>
        <v>Jul</v>
      </c>
      <c r="D938">
        <v>2023</v>
      </c>
      <c r="E938" t="s">
        <v>951</v>
      </c>
      <c r="F938" t="s">
        <v>11</v>
      </c>
      <c r="G938">
        <v>24</v>
      </c>
      <c r="H938" t="s">
        <v>20</v>
      </c>
      <c r="I938">
        <v>2</v>
      </c>
      <c r="J938">
        <v>68</v>
      </c>
      <c r="K938">
        <v>136</v>
      </c>
      <c r="L9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39" spans="1:12" x14ac:dyDescent="0.3">
      <c r="A939">
        <v>938</v>
      </c>
      <c r="B939" s="1">
        <v>45262</v>
      </c>
      <c r="C939" s="1" t="str">
        <f>TEXT(RetailStore[[#This Row],[Date]],"mmm")</f>
        <v>Dec</v>
      </c>
      <c r="D939">
        <v>2023</v>
      </c>
      <c r="E939" t="s">
        <v>952</v>
      </c>
      <c r="F939" t="s">
        <v>18</v>
      </c>
      <c r="G939">
        <v>37</v>
      </c>
      <c r="H939" t="s">
        <v>15</v>
      </c>
      <c r="I939">
        <v>2</v>
      </c>
      <c r="J939">
        <v>402</v>
      </c>
      <c r="K939">
        <v>804</v>
      </c>
      <c r="L9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40" spans="1:12" x14ac:dyDescent="0.3">
      <c r="A940">
        <v>939</v>
      </c>
      <c r="B940" s="1">
        <v>45072</v>
      </c>
      <c r="C940" s="1" t="str">
        <f>TEXT(RetailStore[[#This Row],[Date]],"mmm")</f>
        <v>May</v>
      </c>
      <c r="D940">
        <v>2023</v>
      </c>
      <c r="E940" t="s">
        <v>953</v>
      </c>
      <c r="F940" t="s">
        <v>18</v>
      </c>
      <c r="G940">
        <v>58</v>
      </c>
      <c r="H940" t="s">
        <v>15</v>
      </c>
      <c r="I940">
        <v>2</v>
      </c>
      <c r="J940">
        <v>294</v>
      </c>
      <c r="K940">
        <v>588</v>
      </c>
      <c r="L9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41" spans="1:12" x14ac:dyDescent="0.3">
      <c r="A941">
        <v>940</v>
      </c>
      <c r="B941" s="1">
        <v>45014</v>
      </c>
      <c r="C941" s="1" t="str">
        <f>TEXT(RetailStore[[#This Row],[Date]],"mmm")</f>
        <v>Mar</v>
      </c>
      <c r="D941">
        <v>2023</v>
      </c>
      <c r="E941" t="s">
        <v>954</v>
      </c>
      <c r="F941" t="s">
        <v>11</v>
      </c>
      <c r="G941">
        <v>20</v>
      </c>
      <c r="H941" t="s">
        <v>12</v>
      </c>
      <c r="I941">
        <v>3</v>
      </c>
      <c r="J941">
        <v>465</v>
      </c>
      <c r="K941">
        <v>1395</v>
      </c>
      <c r="L9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42" spans="1:12" x14ac:dyDescent="0.3">
      <c r="A942">
        <v>941</v>
      </c>
      <c r="B942" s="1">
        <v>45093</v>
      </c>
      <c r="C942" s="1" t="str">
        <f>TEXT(RetailStore[[#This Row],[Date]],"mmm")</f>
        <v>Jun</v>
      </c>
      <c r="D942">
        <v>2023</v>
      </c>
      <c r="E942" t="s">
        <v>955</v>
      </c>
      <c r="F942" t="s">
        <v>18</v>
      </c>
      <c r="G942">
        <v>47</v>
      </c>
      <c r="H942" t="s">
        <v>12</v>
      </c>
      <c r="I942">
        <v>3</v>
      </c>
      <c r="J942">
        <v>305</v>
      </c>
      <c r="K942">
        <v>915</v>
      </c>
      <c r="L9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43" spans="1:12" x14ac:dyDescent="0.3">
      <c r="A943">
        <v>942</v>
      </c>
      <c r="B943" s="1">
        <v>45154</v>
      </c>
      <c r="C943" s="1" t="str">
        <f>TEXT(RetailStore[[#This Row],[Date]],"mmm")</f>
        <v>Aug</v>
      </c>
      <c r="D943">
        <v>2023</v>
      </c>
      <c r="E943" t="s">
        <v>956</v>
      </c>
      <c r="F943" t="s">
        <v>11</v>
      </c>
      <c r="G943">
        <v>62</v>
      </c>
      <c r="H943" t="s">
        <v>12</v>
      </c>
      <c r="I943">
        <v>2</v>
      </c>
      <c r="J943">
        <v>327</v>
      </c>
      <c r="K943">
        <v>654</v>
      </c>
      <c r="L9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44" spans="1:12" x14ac:dyDescent="0.3">
      <c r="A944">
        <v>943</v>
      </c>
      <c r="B944" s="1">
        <v>45232</v>
      </c>
      <c r="C944" s="1" t="str">
        <f>TEXT(RetailStore[[#This Row],[Date]],"mmm")</f>
        <v>Nov</v>
      </c>
      <c r="D944">
        <v>2023</v>
      </c>
      <c r="E944" t="s">
        <v>957</v>
      </c>
      <c r="F944" t="s">
        <v>18</v>
      </c>
      <c r="G944">
        <v>58</v>
      </c>
      <c r="H944" t="s">
        <v>12</v>
      </c>
      <c r="I944">
        <v>4</v>
      </c>
      <c r="J944">
        <v>293</v>
      </c>
      <c r="K944">
        <v>1172</v>
      </c>
      <c r="L9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45" spans="1:12" x14ac:dyDescent="0.3">
      <c r="A945">
        <v>944</v>
      </c>
      <c r="B945" s="1">
        <v>45254</v>
      </c>
      <c r="C945" s="1" t="str">
        <f>TEXT(RetailStore[[#This Row],[Date]],"mmm")</f>
        <v>Nov</v>
      </c>
      <c r="D945">
        <v>2023</v>
      </c>
      <c r="E945" t="s">
        <v>958</v>
      </c>
      <c r="F945" t="s">
        <v>18</v>
      </c>
      <c r="G945">
        <v>40</v>
      </c>
      <c r="H945" t="s">
        <v>20</v>
      </c>
      <c r="I945">
        <v>2</v>
      </c>
      <c r="J945">
        <v>437</v>
      </c>
      <c r="K945">
        <v>874</v>
      </c>
      <c r="L9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46" spans="1:12" x14ac:dyDescent="0.3">
      <c r="A946">
        <v>945</v>
      </c>
      <c r="B946" s="1">
        <v>44972</v>
      </c>
      <c r="C946" s="1" t="str">
        <f>TEXT(RetailStore[[#This Row],[Date]],"mmm")</f>
        <v>Feb</v>
      </c>
      <c r="D946">
        <v>2023</v>
      </c>
      <c r="E946" t="s">
        <v>959</v>
      </c>
      <c r="F946" t="s">
        <v>18</v>
      </c>
      <c r="G946">
        <v>37</v>
      </c>
      <c r="H946" t="s">
        <v>20</v>
      </c>
      <c r="I946">
        <v>4</v>
      </c>
      <c r="J946">
        <v>158</v>
      </c>
      <c r="K946">
        <v>632</v>
      </c>
      <c r="L9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47" spans="1:12" x14ac:dyDescent="0.3">
      <c r="A947">
        <v>946</v>
      </c>
      <c r="B947" s="1">
        <v>45006</v>
      </c>
      <c r="C947" s="1" t="str">
        <f>TEXT(RetailStore[[#This Row],[Date]],"mmm")</f>
        <v>Mar</v>
      </c>
      <c r="D947">
        <v>2023</v>
      </c>
      <c r="E947" t="s">
        <v>960</v>
      </c>
      <c r="F947" t="s">
        <v>18</v>
      </c>
      <c r="G947">
        <v>18</v>
      </c>
      <c r="H947" t="s">
        <v>15</v>
      </c>
      <c r="I947">
        <v>2</v>
      </c>
      <c r="J947">
        <v>201</v>
      </c>
      <c r="K947">
        <v>402</v>
      </c>
      <c r="L9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48" spans="1:12" x14ac:dyDescent="0.3">
      <c r="A948">
        <v>947</v>
      </c>
      <c r="B948" s="1">
        <v>45073</v>
      </c>
      <c r="C948" s="1" t="str">
        <f>TEXT(RetailStore[[#This Row],[Date]],"mmm")</f>
        <v>May</v>
      </c>
      <c r="D948">
        <v>2023</v>
      </c>
      <c r="E948" t="s">
        <v>961</v>
      </c>
      <c r="F948" t="s">
        <v>18</v>
      </c>
      <c r="G948">
        <v>52</v>
      </c>
      <c r="H948" t="s">
        <v>15</v>
      </c>
      <c r="I948">
        <v>4</v>
      </c>
      <c r="J948">
        <v>411</v>
      </c>
      <c r="K948">
        <v>1644</v>
      </c>
      <c r="L9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49" spans="1:12" x14ac:dyDescent="0.3">
      <c r="A949">
        <v>948</v>
      </c>
      <c r="B949" s="1">
        <v>45171</v>
      </c>
      <c r="C949" s="1" t="str">
        <f>TEXT(RetailStore[[#This Row],[Date]],"mmm")</f>
        <v>Sep</v>
      </c>
      <c r="D949">
        <v>2023</v>
      </c>
      <c r="E949" t="s">
        <v>962</v>
      </c>
      <c r="F949" t="s">
        <v>18</v>
      </c>
      <c r="G949">
        <v>18</v>
      </c>
      <c r="H949" t="s">
        <v>20</v>
      </c>
      <c r="I949">
        <v>3</v>
      </c>
      <c r="J949">
        <v>330</v>
      </c>
      <c r="K949">
        <v>990</v>
      </c>
      <c r="L9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50" spans="1:12" x14ac:dyDescent="0.3">
      <c r="A950">
        <v>949</v>
      </c>
      <c r="B950" s="1">
        <v>45045</v>
      </c>
      <c r="C950" s="1" t="str">
        <f>TEXT(RetailStore[[#This Row],[Date]],"mmm")</f>
        <v>Apr</v>
      </c>
      <c r="D950">
        <v>2023</v>
      </c>
      <c r="E950" t="s">
        <v>963</v>
      </c>
      <c r="F950" t="s">
        <v>11</v>
      </c>
      <c r="G950">
        <v>53</v>
      </c>
      <c r="H950" t="s">
        <v>20</v>
      </c>
      <c r="I950">
        <v>2</v>
      </c>
      <c r="J950">
        <v>235</v>
      </c>
      <c r="K950">
        <v>470</v>
      </c>
      <c r="L9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51" spans="1:12" x14ac:dyDescent="0.3">
      <c r="A951">
        <v>950</v>
      </c>
      <c r="B951" s="1">
        <v>45214</v>
      </c>
      <c r="C951" s="1" t="str">
        <f>TEXT(RetailStore[[#This Row],[Date]],"mmm")</f>
        <v>Oct</v>
      </c>
      <c r="D951">
        <v>2023</v>
      </c>
      <c r="E951" t="s">
        <v>964</v>
      </c>
      <c r="F951" t="s">
        <v>18</v>
      </c>
      <c r="G951">
        <v>43</v>
      </c>
      <c r="H951" t="s">
        <v>15</v>
      </c>
      <c r="I951">
        <v>2</v>
      </c>
      <c r="J951">
        <v>391</v>
      </c>
      <c r="K951">
        <v>782</v>
      </c>
      <c r="L9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52" spans="1:12" x14ac:dyDescent="0.3">
      <c r="A952">
        <v>951</v>
      </c>
      <c r="B952" s="1">
        <v>45257</v>
      </c>
      <c r="C952" s="1" t="str">
        <f>TEXT(RetailStore[[#This Row],[Date]],"mmm")</f>
        <v>Nov</v>
      </c>
      <c r="D952">
        <v>2023</v>
      </c>
      <c r="E952" t="s">
        <v>965</v>
      </c>
      <c r="F952" t="s">
        <v>18</v>
      </c>
      <c r="G952">
        <v>42</v>
      </c>
      <c r="H952" t="s">
        <v>15</v>
      </c>
      <c r="I952">
        <v>3</v>
      </c>
      <c r="J952">
        <v>65</v>
      </c>
      <c r="K952">
        <v>195</v>
      </c>
      <c r="L9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53" spans="1:12" x14ac:dyDescent="0.3">
      <c r="A953">
        <v>952</v>
      </c>
      <c r="B953" s="1">
        <v>45143</v>
      </c>
      <c r="C953" s="1" t="str">
        <f>TEXT(RetailStore[[#This Row],[Date]],"mmm")</f>
        <v>Aug</v>
      </c>
      <c r="D953">
        <v>2023</v>
      </c>
      <c r="E953" t="s">
        <v>966</v>
      </c>
      <c r="F953" t="s">
        <v>11</v>
      </c>
      <c r="G953">
        <v>51</v>
      </c>
      <c r="H953" t="s">
        <v>12</v>
      </c>
      <c r="I953">
        <v>3</v>
      </c>
      <c r="J953">
        <v>170</v>
      </c>
      <c r="K953">
        <v>510</v>
      </c>
      <c r="L9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54" spans="1:12" x14ac:dyDescent="0.3">
      <c r="A954">
        <v>953</v>
      </c>
      <c r="B954" s="1">
        <v>45259</v>
      </c>
      <c r="C954" s="1" t="str">
        <f>TEXT(RetailStore[[#This Row],[Date]],"mmm")</f>
        <v>Nov</v>
      </c>
      <c r="D954">
        <v>2023</v>
      </c>
      <c r="E954" t="s">
        <v>967</v>
      </c>
      <c r="F954" t="s">
        <v>18</v>
      </c>
      <c r="G954">
        <v>44</v>
      </c>
      <c r="H954" t="s">
        <v>15</v>
      </c>
      <c r="I954">
        <v>1</v>
      </c>
      <c r="J954">
        <v>118</v>
      </c>
      <c r="K954">
        <v>118</v>
      </c>
      <c r="L9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55" spans="1:12" x14ac:dyDescent="0.3">
      <c r="A955">
        <v>954</v>
      </c>
      <c r="B955" s="1">
        <v>44996</v>
      </c>
      <c r="C955" s="1" t="str">
        <f>TEXT(RetailStore[[#This Row],[Date]],"mmm")</f>
        <v>Mar</v>
      </c>
      <c r="D955">
        <v>2023</v>
      </c>
      <c r="E955" t="s">
        <v>968</v>
      </c>
      <c r="F955" t="s">
        <v>18</v>
      </c>
      <c r="G955">
        <v>25</v>
      </c>
      <c r="H955" t="s">
        <v>12</v>
      </c>
      <c r="I955">
        <v>4</v>
      </c>
      <c r="J955">
        <v>341</v>
      </c>
      <c r="K955">
        <v>1364</v>
      </c>
      <c r="L9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56" spans="1:12" x14ac:dyDescent="0.3">
      <c r="A956">
        <v>955</v>
      </c>
      <c r="B956" s="1">
        <v>45158</v>
      </c>
      <c r="C956" s="1" t="str">
        <f>TEXT(RetailStore[[#This Row],[Date]],"mmm")</f>
        <v>Aug</v>
      </c>
      <c r="D956">
        <v>2023</v>
      </c>
      <c r="E956" t="s">
        <v>969</v>
      </c>
      <c r="F956" t="s">
        <v>18</v>
      </c>
      <c r="G956">
        <v>62</v>
      </c>
      <c r="H956" t="s">
        <v>12</v>
      </c>
      <c r="I956">
        <v>4</v>
      </c>
      <c r="J956">
        <v>121</v>
      </c>
      <c r="K956">
        <v>484</v>
      </c>
      <c r="L9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57" spans="1:12" x14ac:dyDescent="0.3">
      <c r="A957">
        <v>956</v>
      </c>
      <c r="B957" s="1">
        <v>45091</v>
      </c>
      <c r="C957" s="1" t="str">
        <f>TEXT(RetailStore[[#This Row],[Date]],"mmm")</f>
        <v>Jun</v>
      </c>
      <c r="D957">
        <v>2023</v>
      </c>
      <c r="E957" t="s">
        <v>970</v>
      </c>
      <c r="F957" t="s">
        <v>11</v>
      </c>
      <c r="G957">
        <v>27</v>
      </c>
      <c r="H957" t="s">
        <v>15</v>
      </c>
      <c r="I957">
        <v>1</v>
      </c>
      <c r="J957">
        <v>120</v>
      </c>
      <c r="K957">
        <v>120</v>
      </c>
      <c r="L9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58" spans="1:12" x14ac:dyDescent="0.3">
      <c r="A958">
        <v>957</v>
      </c>
      <c r="B958" s="1">
        <v>44979</v>
      </c>
      <c r="C958" s="1" t="str">
        <f>TEXT(RetailStore[[#This Row],[Date]],"mmm")</f>
        <v>Feb</v>
      </c>
      <c r="D958">
        <v>2023</v>
      </c>
      <c r="E958" t="s">
        <v>971</v>
      </c>
      <c r="F958" t="s">
        <v>18</v>
      </c>
      <c r="G958">
        <v>35</v>
      </c>
      <c r="H958" t="s">
        <v>15</v>
      </c>
      <c r="I958">
        <v>4</v>
      </c>
      <c r="J958">
        <v>397</v>
      </c>
      <c r="K958">
        <v>1588</v>
      </c>
      <c r="L9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59" spans="1:12" x14ac:dyDescent="0.3">
      <c r="A959">
        <v>958</v>
      </c>
      <c r="B959" s="1">
        <v>44931</v>
      </c>
      <c r="C959" s="1" t="str">
        <f>TEXT(RetailStore[[#This Row],[Date]],"mmm")</f>
        <v>Jan</v>
      </c>
      <c r="D959">
        <v>2023</v>
      </c>
      <c r="E959" t="s">
        <v>972</v>
      </c>
      <c r="F959" t="s">
        <v>11</v>
      </c>
      <c r="G959">
        <v>23</v>
      </c>
      <c r="H959" t="s">
        <v>15</v>
      </c>
      <c r="I959">
        <v>1</v>
      </c>
      <c r="J959">
        <v>277</v>
      </c>
      <c r="K959">
        <v>277</v>
      </c>
      <c r="L9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60" spans="1:12" x14ac:dyDescent="0.3">
      <c r="A960">
        <v>959</v>
      </c>
      <c r="B960" s="1">
        <v>45038</v>
      </c>
      <c r="C960" s="1" t="str">
        <f>TEXT(RetailStore[[#This Row],[Date]],"mmm")</f>
        <v>Apr</v>
      </c>
      <c r="D960">
        <v>2023</v>
      </c>
      <c r="E960" t="s">
        <v>973</v>
      </c>
      <c r="F960" t="s">
        <v>18</v>
      </c>
      <c r="G960">
        <v>44</v>
      </c>
      <c r="H960" t="s">
        <v>20</v>
      </c>
      <c r="I960">
        <v>4</v>
      </c>
      <c r="J960">
        <v>215</v>
      </c>
      <c r="K960">
        <v>860</v>
      </c>
      <c r="L9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61" spans="1:12" x14ac:dyDescent="0.3">
      <c r="A961">
        <v>960</v>
      </c>
      <c r="B961" s="1">
        <v>45164</v>
      </c>
      <c r="C961" s="1" t="str">
        <f>TEXT(RetailStore[[#This Row],[Date]],"mmm")</f>
        <v>Aug</v>
      </c>
      <c r="D961">
        <v>2023</v>
      </c>
      <c r="E961" t="s">
        <v>974</v>
      </c>
      <c r="F961" t="s">
        <v>11</v>
      </c>
      <c r="G961">
        <v>39</v>
      </c>
      <c r="H961" t="s">
        <v>15</v>
      </c>
      <c r="I961">
        <v>2</v>
      </c>
      <c r="J961">
        <v>53</v>
      </c>
      <c r="K961">
        <v>106</v>
      </c>
      <c r="L9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62" spans="1:12" x14ac:dyDescent="0.3">
      <c r="A962">
        <v>961</v>
      </c>
      <c r="B962" s="1">
        <v>45063</v>
      </c>
      <c r="C962" s="1" t="str">
        <f>TEXT(RetailStore[[#This Row],[Date]],"mmm")</f>
        <v>May</v>
      </c>
      <c r="D962">
        <v>2023</v>
      </c>
      <c r="E962" t="s">
        <v>975</v>
      </c>
      <c r="F962" t="s">
        <v>18</v>
      </c>
      <c r="G962">
        <v>22</v>
      </c>
      <c r="H962" t="s">
        <v>12</v>
      </c>
      <c r="I962">
        <v>4</v>
      </c>
      <c r="J962">
        <v>117</v>
      </c>
      <c r="K962">
        <v>468</v>
      </c>
      <c r="L9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63" spans="1:12" x14ac:dyDescent="0.3">
      <c r="A963">
        <v>962</v>
      </c>
      <c r="B963" s="1">
        <v>45025</v>
      </c>
      <c r="C963" s="1" t="str">
        <f>TEXT(RetailStore[[#This Row],[Date]],"mmm")</f>
        <v>Apr</v>
      </c>
      <c r="D963">
        <v>2023</v>
      </c>
      <c r="E963" t="s">
        <v>976</v>
      </c>
      <c r="F963" t="s">
        <v>18</v>
      </c>
      <c r="G963">
        <v>42</v>
      </c>
      <c r="H963" t="s">
        <v>15</v>
      </c>
      <c r="I963">
        <v>1</v>
      </c>
      <c r="J963">
        <v>418</v>
      </c>
      <c r="K963">
        <v>418</v>
      </c>
      <c r="L9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64" spans="1:12" x14ac:dyDescent="0.3">
      <c r="A964">
        <v>963</v>
      </c>
      <c r="B964" s="1">
        <v>45054</v>
      </c>
      <c r="C964" s="1" t="str">
        <f>TEXT(RetailStore[[#This Row],[Date]],"mmm")</f>
        <v>May</v>
      </c>
      <c r="D964">
        <v>2023</v>
      </c>
      <c r="E964" t="s">
        <v>977</v>
      </c>
      <c r="F964" t="s">
        <v>18</v>
      </c>
      <c r="G964">
        <v>46</v>
      </c>
      <c r="H964" t="s">
        <v>15</v>
      </c>
      <c r="I964">
        <v>1</v>
      </c>
      <c r="J964">
        <v>126</v>
      </c>
      <c r="K964">
        <v>126</v>
      </c>
      <c r="L9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65" spans="1:12" x14ac:dyDescent="0.3">
      <c r="A965">
        <v>964</v>
      </c>
      <c r="B965" s="1">
        <v>45162</v>
      </c>
      <c r="C965" s="1" t="str">
        <f>TEXT(RetailStore[[#This Row],[Date]],"mmm")</f>
        <v>Aug</v>
      </c>
      <c r="D965">
        <v>2023</v>
      </c>
      <c r="E965" t="s">
        <v>978</v>
      </c>
      <c r="F965" t="s">
        <v>11</v>
      </c>
      <c r="G965">
        <v>51</v>
      </c>
      <c r="H965" t="s">
        <v>12</v>
      </c>
      <c r="I965">
        <v>2</v>
      </c>
      <c r="J965">
        <v>267</v>
      </c>
      <c r="K965">
        <v>534</v>
      </c>
      <c r="L9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66" spans="1:12" x14ac:dyDescent="0.3">
      <c r="A966">
        <v>965</v>
      </c>
      <c r="B966" s="1">
        <v>45126</v>
      </c>
      <c r="C966" s="1" t="str">
        <f>TEXT(RetailStore[[#This Row],[Date]],"mmm")</f>
        <v>Jul</v>
      </c>
      <c r="D966">
        <v>2023</v>
      </c>
      <c r="E966" t="s">
        <v>979</v>
      </c>
      <c r="F966" t="s">
        <v>18</v>
      </c>
      <c r="G966">
        <v>38</v>
      </c>
      <c r="H966" t="s">
        <v>15</v>
      </c>
      <c r="I966">
        <v>1</v>
      </c>
      <c r="J966">
        <v>406</v>
      </c>
      <c r="K966">
        <v>406</v>
      </c>
      <c r="L9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67" spans="1:12" x14ac:dyDescent="0.3">
      <c r="A967">
        <v>966</v>
      </c>
      <c r="B967" s="1">
        <v>45208</v>
      </c>
      <c r="C967" s="1" t="str">
        <f>TEXT(RetailStore[[#This Row],[Date]],"mmm")</f>
        <v>Oct</v>
      </c>
      <c r="D967">
        <v>2023</v>
      </c>
      <c r="E967" t="s">
        <v>980</v>
      </c>
      <c r="F967" t="s">
        <v>11</v>
      </c>
      <c r="G967">
        <v>34</v>
      </c>
      <c r="H967" t="s">
        <v>20</v>
      </c>
      <c r="I967">
        <v>3</v>
      </c>
      <c r="J967">
        <v>126</v>
      </c>
      <c r="K967">
        <v>378</v>
      </c>
      <c r="L9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68" spans="1:12" x14ac:dyDescent="0.3">
      <c r="A968">
        <v>967</v>
      </c>
      <c r="B968" s="1">
        <v>45111</v>
      </c>
      <c r="C968" s="1" t="str">
        <f>TEXT(RetailStore[[#This Row],[Date]],"mmm")</f>
        <v>Jul</v>
      </c>
      <c r="D968">
        <v>2023</v>
      </c>
      <c r="E968" t="s">
        <v>981</v>
      </c>
      <c r="F968" t="s">
        <v>11</v>
      </c>
      <c r="G968">
        <v>60</v>
      </c>
      <c r="H968" t="s">
        <v>15</v>
      </c>
      <c r="I968">
        <v>1</v>
      </c>
      <c r="J968">
        <v>145</v>
      </c>
      <c r="K968">
        <v>145</v>
      </c>
      <c r="L9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69" spans="1:12" x14ac:dyDescent="0.3">
      <c r="A969">
        <v>968</v>
      </c>
      <c r="B969" s="1">
        <v>45251</v>
      </c>
      <c r="C969" s="1" t="str">
        <f>TEXT(RetailStore[[#This Row],[Date]],"mmm")</f>
        <v>Nov</v>
      </c>
      <c r="D969">
        <v>2023</v>
      </c>
      <c r="E969" t="s">
        <v>982</v>
      </c>
      <c r="F969" t="s">
        <v>18</v>
      </c>
      <c r="G969">
        <v>38</v>
      </c>
      <c r="H969" t="s">
        <v>15</v>
      </c>
      <c r="I969">
        <v>2</v>
      </c>
      <c r="J969">
        <v>431</v>
      </c>
      <c r="K969">
        <v>862</v>
      </c>
      <c r="L9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70" spans="1:12" x14ac:dyDescent="0.3">
      <c r="A970">
        <v>969</v>
      </c>
      <c r="B970" s="1">
        <v>45068</v>
      </c>
      <c r="C970" s="1" t="str">
        <f>TEXT(RetailStore[[#This Row],[Date]],"mmm")</f>
        <v>May</v>
      </c>
      <c r="D970">
        <v>2023</v>
      </c>
      <c r="E970" t="s">
        <v>983</v>
      </c>
      <c r="F970" t="s">
        <v>11</v>
      </c>
      <c r="G970">
        <v>43</v>
      </c>
      <c r="H970" t="s">
        <v>15</v>
      </c>
      <c r="I970">
        <v>1</v>
      </c>
      <c r="J970">
        <v>46</v>
      </c>
      <c r="K970">
        <v>46</v>
      </c>
      <c r="L9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71" spans="1:12" x14ac:dyDescent="0.3">
      <c r="A971">
        <v>970</v>
      </c>
      <c r="B971" s="1">
        <v>45224</v>
      </c>
      <c r="C971" s="1" t="str">
        <f>TEXT(RetailStore[[#This Row],[Date]],"mmm")</f>
        <v>Oct</v>
      </c>
      <c r="D971">
        <v>2023</v>
      </c>
      <c r="E971" t="s">
        <v>984</v>
      </c>
      <c r="F971" t="s">
        <v>18</v>
      </c>
      <c r="G971">
        <v>62</v>
      </c>
      <c r="H971" t="s">
        <v>12</v>
      </c>
      <c r="I971">
        <v>2</v>
      </c>
      <c r="J971">
        <v>215</v>
      </c>
      <c r="K971">
        <v>430</v>
      </c>
      <c r="L9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72" spans="1:12" x14ac:dyDescent="0.3">
      <c r="A972">
        <v>971</v>
      </c>
      <c r="B972" s="1">
        <v>44972</v>
      </c>
      <c r="C972" s="1" t="str">
        <f>TEXT(RetailStore[[#This Row],[Date]],"mmm")</f>
        <v>Feb</v>
      </c>
      <c r="D972">
        <v>2023</v>
      </c>
      <c r="E972" t="s">
        <v>985</v>
      </c>
      <c r="F972" t="s">
        <v>11</v>
      </c>
      <c r="G972">
        <v>28</v>
      </c>
      <c r="H972" t="s">
        <v>20</v>
      </c>
      <c r="I972">
        <v>1</v>
      </c>
      <c r="J972">
        <v>376</v>
      </c>
      <c r="K972">
        <v>376</v>
      </c>
      <c r="L9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73" spans="1:12" x14ac:dyDescent="0.3">
      <c r="A973">
        <v>972</v>
      </c>
      <c r="B973" s="1">
        <v>45243</v>
      </c>
      <c r="C973" s="1" t="str">
        <f>TEXT(RetailStore[[#This Row],[Date]],"mmm")</f>
        <v>Nov</v>
      </c>
      <c r="D973">
        <v>2023</v>
      </c>
      <c r="E973" t="s">
        <v>986</v>
      </c>
      <c r="F973" t="s">
        <v>18</v>
      </c>
      <c r="G973">
        <v>58</v>
      </c>
      <c r="H973" t="s">
        <v>15</v>
      </c>
      <c r="I973">
        <v>1</v>
      </c>
      <c r="J973">
        <v>207</v>
      </c>
      <c r="K973">
        <v>207</v>
      </c>
      <c r="L9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74" spans="1:12" x14ac:dyDescent="0.3">
      <c r="A974">
        <v>973</v>
      </c>
      <c r="B974" s="1">
        <v>45257</v>
      </c>
      <c r="C974" s="1" t="str">
        <f>TEXT(RetailStore[[#This Row],[Date]],"mmm")</f>
        <v>Nov</v>
      </c>
      <c r="D974">
        <v>2023</v>
      </c>
      <c r="E974" t="s">
        <v>987</v>
      </c>
      <c r="F974" t="s">
        <v>11</v>
      </c>
      <c r="G974">
        <v>62</v>
      </c>
      <c r="H974" t="s">
        <v>12</v>
      </c>
      <c r="I974">
        <v>1</v>
      </c>
      <c r="J974">
        <v>89</v>
      </c>
      <c r="K974">
        <v>89</v>
      </c>
      <c r="L9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75" spans="1:12" x14ac:dyDescent="0.3">
      <c r="A975">
        <v>974</v>
      </c>
      <c r="B975" s="1">
        <v>45176</v>
      </c>
      <c r="C975" s="1" t="str">
        <f>TEXT(RetailStore[[#This Row],[Date]],"mmm")</f>
        <v>Sep</v>
      </c>
      <c r="D975">
        <v>2023</v>
      </c>
      <c r="E975" t="s">
        <v>988</v>
      </c>
      <c r="F975" t="s">
        <v>11</v>
      </c>
      <c r="G975">
        <v>38</v>
      </c>
      <c r="H975" t="s">
        <v>12</v>
      </c>
      <c r="I975">
        <v>3</v>
      </c>
      <c r="J975">
        <v>437</v>
      </c>
      <c r="K975">
        <v>1311</v>
      </c>
      <c r="L9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76" spans="1:12" x14ac:dyDescent="0.3">
      <c r="A976">
        <v>975</v>
      </c>
      <c r="B976" s="1">
        <v>45151</v>
      </c>
      <c r="C976" s="1" t="str">
        <f>TEXT(RetailStore[[#This Row],[Date]],"mmm")</f>
        <v>Aug</v>
      </c>
      <c r="D976">
        <v>2023</v>
      </c>
      <c r="E976" t="s">
        <v>989</v>
      </c>
      <c r="F976" t="s">
        <v>11</v>
      </c>
      <c r="G976">
        <v>19</v>
      </c>
      <c r="H976" t="s">
        <v>12</v>
      </c>
      <c r="I976">
        <v>4</v>
      </c>
      <c r="J976">
        <v>208</v>
      </c>
      <c r="K976">
        <v>832</v>
      </c>
      <c r="L9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77" spans="1:12" x14ac:dyDescent="0.3">
      <c r="A977">
        <v>976</v>
      </c>
      <c r="B977" s="1">
        <v>44995</v>
      </c>
      <c r="C977" s="1" t="str">
        <f>TEXT(RetailStore[[#This Row],[Date]],"mmm")</f>
        <v>Mar</v>
      </c>
      <c r="D977">
        <v>2023</v>
      </c>
      <c r="E977" t="s">
        <v>990</v>
      </c>
      <c r="F977" t="s">
        <v>18</v>
      </c>
      <c r="G977">
        <v>20</v>
      </c>
      <c r="H977" t="s">
        <v>20</v>
      </c>
      <c r="I977">
        <v>4</v>
      </c>
      <c r="J977">
        <v>311</v>
      </c>
      <c r="K977">
        <v>1244</v>
      </c>
      <c r="L9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78" spans="1:12" x14ac:dyDescent="0.3">
      <c r="A978">
        <v>977</v>
      </c>
      <c r="B978" s="1">
        <v>45077</v>
      </c>
      <c r="C978" s="1" t="str">
        <f>TEXT(RetailStore[[#This Row],[Date]],"mmm")</f>
        <v>May</v>
      </c>
      <c r="D978">
        <v>2023</v>
      </c>
      <c r="E978" t="s">
        <v>991</v>
      </c>
      <c r="F978" t="s">
        <v>18</v>
      </c>
      <c r="G978">
        <v>30</v>
      </c>
      <c r="H978" t="s">
        <v>12</v>
      </c>
      <c r="I978">
        <v>2</v>
      </c>
      <c r="J978">
        <v>303</v>
      </c>
      <c r="K978">
        <v>606</v>
      </c>
      <c r="L9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79" spans="1:12" x14ac:dyDescent="0.3">
      <c r="A979">
        <v>978</v>
      </c>
      <c r="B979" s="1">
        <v>45105</v>
      </c>
      <c r="C979" s="1" t="str">
        <f>TEXT(RetailStore[[#This Row],[Date]],"mmm")</f>
        <v>Jun</v>
      </c>
      <c r="D979">
        <v>2023</v>
      </c>
      <c r="E979" t="s">
        <v>992</v>
      </c>
      <c r="F979" t="s">
        <v>18</v>
      </c>
      <c r="G979">
        <v>64</v>
      </c>
      <c r="H979" t="s">
        <v>20</v>
      </c>
      <c r="I979">
        <v>3</v>
      </c>
      <c r="J979">
        <v>469</v>
      </c>
      <c r="K979">
        <v>1407</v>
      </c>
      <c r="L9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80" spans="1:12" x14ac:dyDescent="0.3">
      <c r="A980">
        <v>979</v>
      </c>
      <c r="B980" s="1">
        <v>45233</v>
      </c>
      <c r="C980" s="1" t="str">
        <f>TEXT(RetailStore[[#This Row],[Date]],"mmm")</f>
        <v>Nov</v>
      </c>
      <c r="D980">
        <v>2023</v>
      </c>
      <c r="E980" t="s">
        <v>993</v>
      </c>
      <c r="F980" t="s">
        <v>11</v>
      </c>
      <c r="G980">
        <v>22</v>
      </c>
      <c r="H980" t="s">
        <v>12</v>
      </c>
      <c r="I980">
        <v>2</v>
      </c>
      <c r="J980">
        <v>255</v>
      </c>
      <c r="K980">
        <v>510</v>
      </c>
      <c r="L9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81" spans="1:12" x14ac:dyDescent="0.3">
      <c r="A981">
        <v>980</v>
      </c>
      <c r="B981" s="1">
        <v>45078</v>
      </c>
      <c r="C981" s="1" t="str">
        <f>TEXT(RetailStore[[#This Row],[Date]],"mmm")</f>
        <v>Jun</v>
      </c>
      <c r="D981">
        <v>2023</v>
      </c>
      <c r="E981" t="s">
        <v>994</v>
      </c>
      <c r="F981" t="s">
        <v>18</v>
      </c>
      <c r="G981">
        <v>52</v>
      </c>
      <c r="H981" t="s">
        <v>20</v>
      </c>
      <c r="I981">
        <v>4</v>
      </c>
      <c r="J981">
        <v>25</v>
      </c>
      <c r="K981">
        <v>100</v>
      </c>
      <c r="L9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82" spans="1:12" x14ac:dyDescent="0.3">
      <c r="A982">
        <v>981</v>
      </c>
      <c r="B982" s="1">
        <v>45253</v>
      </c>
      <c r="C982" s="1" t="str">
        <f>TEXT(RetailStore[[#This Row],[Date]],"mmm")</f>
        <v>Nov</v>
      </c>
      <c r="D982">
        <v>2023</v>
      </c>
      <c r="E982" t="s">
        <v>995</v>
      </c>
      <c r="F982" t="s">
        <v>18</v>
      </c>
      <c r="G982">
        <v>64</v>
      </c>
      <c r="H982" t="s">
        <v>15</v>
      </c>
      <c r="I982">
        <v>1</v>
      </c>
      <c r="J982">
        <v>342</v>
      </c>
      <c r="K982">
        <v>342</v>
      </c>
      <c r="L9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83" spans="1:12" x14ac:dyDescent="0.3">
      <c r="A983">
        <v>982</v>
      </c>
      <c r="B983" s="1">
        <v>45113</v>
      </c>
      <c r="C983" s="1" t="str">
        <f>TEXT(RetailStore[[#This Row],[Date]],"mmm")</f>
        <v>Jul</v>
      </c>
      <c r="D983">
        <v>2023</v>
      </c>
      <c r="E983" t="s">
        <v>996</v>
      </c>
      <c r="F983" t="s">
        <v>11</v>
      </c>
      <c r="G983">
        <v>38</v>
      </c>
      <c r="H983" t="s">
        <v>12</v>
      </c>
      <c r="I983">
        <v>1</v>
      </c>
      <c r="J983">
        <v>362</v>
      </c>
      <c r="K983">
        <v>362</v>
      </c>
      <c r="L9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84" spans="1:12" x14ac:dyDescent="0.3">
      <c r="A984">
        <v>983</v>
      </c>
      <c r="B984" s="1">
        <v>45202</v>
      </c>
      <c r="C984" s="1" t="str">
        <f>TEXT(RetailStore[[#This Row],[Date]],"mmm")</f>
        <v>Oct</v>
      </c>
      <c r="D984">
        <v>2023</v>
      </c>
      <c r="E984" t="s">
        <v>997</v>
      </c>
      <c r="F984" t="s">
        <v>18</v>
      </c>
      <c r="G984">
        <v>30</v>
      </c>
      <c r="H984" t="s">
        <v>12</v>
      </c>
      <c r="I984">
        <v>4</v>
      </c>
      <c r="J984">
        <v>417</v>
      </c>
      <c r="K984">
        <v>1668</v>
      </c>
      <c r="L9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85" spans="1:12" x14ac:dyDescent="0.3">
      <c r="A985">
        <v>984</v>
      </c>
      <c r="B985" s="1">
        <v>45209</v>
      </c>
      <c r="C985" s="1" t="str">
        <f>TEXT(RetailStore[[#This Row],[Date]],"mmm")</f>
        <v>Oct</v>
      </c>
      <c r="D985">
        <v>2023</v>
      </c>
      <c r="E985" t="s">
        <v>998</v>
      </c>
      <c r="F985" t="s">
        <v>11</v>
      </c>
      <c r="G985">
        <v>57</v>
      </c>
      <c r="H985" t="s">
        <v>20</v>
      </c>
      <c r="I985">
        <v>3</v>
      </c>
      <c r="J985">
        <v>234</v>
      </c>
      <c r="K985">
        <v>702</v>
      </c>
      <c r="L9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86" spans="1:12" x14ac:dyDescent="0.3">
      <c r="A986">
        <v>985</v>
      </c>
      <c r="B986" s="1">
        <v>45255</v>
      </c>
      <c r="C986" s="1" t="str">
        <f>TEXT(RetailStore[[#This Row],[Date]],"mmm")</f>
        <v>Nov</v>
      </c>
      <c r="D986">
        <v>2023</v>
      </c>
      <c r="E986" t="s">
        <v>999</v>
      </c>
      <c r="F986" t="s">
        <v>18</v>
      </c>
      <c r="G986">
        <v>25</v>
      </c>
      <c r="H986" t="s">
        <v>15</v>
      </c>
      <c r="I986">
        <v>1</v>
      </c>
      <c r="J986">
        <v>47</v>
      </c>
      <c r="K986">
        <v>47</v>
      </c>
      <c r="L9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87" spans="1:12" x14ac:dyDescent="0.3">
      <c r="A987">
        <v>986</v>
      </c>
      <c r="B987" s="1">
        <v>44993</v>
      </c>
      <c r="C987" s="1" t="str">
        <f>TEXT(RetailStore[[#This Row],[Date]],"mmm")</f>
        <v>Mar</v>
      </c>
      <c r="D987">
        <v>2023</v>
      </c>
      <c r="E987" t="s">
        <v>1000</v>
      </c>
      <c r="F987" t="s">
        <v>11</v>
      </c>
      <c r="G987">
        <v>20</v>
      </c>
      <c r="H987" t="s">
        <v>15</v>
      </c>
      <c r="I987">
        <v>1</v>
      </c>
      <c r="J987">
        <v>273</v>
      </c>
      <c r="K987">
        <v>273</v>
      </c>
      <c r="L9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88" spans="1:12" x14ac:dyDescent="0.3">
      <c r="A988">
        <v>987</v>
      </c>
      <c r="B988" s="1">
        <v>45025</v>
      </c>
      <c r="C988" s="1" t="str">
        <f>TEXT(RetailStore[[#This Row],[Date]],"mmm")</f>
        <v>Apr</v>
      </c>
      <c r="D988">
        <v>2023</v>
      </c>
      <c r="E988" t="s">
        <v>1001</v>
      </c>
      <c r="F988" t="s">
        <v>11</v>
      </c>
      <c r="G988">
        <v>20</v>
      </c>
      <c r="H988" t="s">
        <v>12</v>
      </c>
      <c r="I988">
        <v>4</v>
      </c>
      <c r="J988">
        <v>361</v>
      </c>
      <c r="K988">
        <v>1444</v>
      </c>
      <c r="L9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89" spans="1:12" x14ac:dyDescent="0.3">
      <c r="A989">
        <v>988</v>
      </c>
      <c r="B989" s="1">
        <v>45177</v>
      </c>
      <c r="C989" s="1" t="str">
        <f>TEXT(RetailStore[[#This Row],[Date]],"mmm")</f>
        <v>Sep</v>
      </c>
      <c r="D989">
        <v>2023</v>
      </c>
      <c r="E989" t="s">
        <v>1002</v>
      </c>
      <c r="F989" t="s">
        <v>18</v>
      </c>
      <c r="G989">
        <v>21</v>
      </c>
      <c r="H989" t="s">
        <v>20</v>
      </c>
      <c r="I989">
        <v>2</v>
      </c>
      <c r="J989">
        <v>335</v>
      </c>
      <c r="K989">
        <v>670</v>
      </c>
      <c r="L9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90" spans="1:12" x14ac:dyDescent="0.3">
      <c r="A990">
        <v>989</v>
      </c>
      <c r="B990" s="1">
        <v>44963</v>
      </c>
      <c r="C990" s="1" t="str">
        <f>TEXT(RetailStore[[#This Row],[Date]],"mmm")</f>
        <v>Feb</v>
      </c>
      <c r="D990">
        <v>2023</v>
      </c>
      <c r="E990" t="s">
        <v>1003</v>
      </c>
      <c r="F990" t="s">
        <v>11</v>
      </c>
      <c r="G990">
        <v>31</v>
      </c>
      <c r="H990" t="s">
        <v>12</v>
      </c>
      <c r="I990">
        <v>4</v>
      </c>
      <c r="J990">
        <v>500</v>
      </c>
      <c r="K990">
        <v>2000</v>
      </c>
      <c r="L9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91" spans="1:12" x14ac:dyDescent="0.3">
      <c r="A991">
        <v>990</v>
      </c>
      <c r="B991" s="1">
        <v>44967</v>
      </c>
      <c r="C991" s="1" t="str">
        <f>TEXT(RetailStore[[#This Row],[Date]],"mmm")</f>
        <v>Feb</v>
      </c>
      <c r="D991">
        <v>2023</v>
      </c>
      <c r="E991" t="s">
        <v>1004</v>
      </c>
      <c r="F991" t="s">
        <v>18</v>
      </c>
      <c r="G991">
        <v>58</v>
      </c>
      <c r="H991" t="s">
        <v>15</v>
      </c>
      <c r="I991">
        <v>3</v>
      </c>
      <c r="J991">
        <v>310</v>
      </c>
      <c r="K991">
        <v>930</v>
      </c>
      <c r="L9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92" spans="1:12" x14ac:dyDescent="0.3">
      <c r="A992">
        <v>991</v>
      </c>
      <c r="B992" s="1">
        <v>45139</v>
      </c>
      <c r="C992" s="1" t="str">
        <f>TEXT(RetailStore[[#This Row],[Date]],"mmm")</f>
        <v>Aug</v>
      </c>
      <c r="D992">
        <v>2023</v>
      </c>
      <c r="E992" t="s">
        <v>1005</v>
      </c>
      <c r="F992" t="s">
        <v>18</v>
      </c>
      <c r="G992">
        <v>63</v>
      </c>
      <c r="H992" t="s">
        <v>15</v>
      </c>
      <c r="I992">
        <v>3</v>
      </c>
      <c r="J992">
        <v>295</v>
      </c>
      <c r="K992">
        <v>885</v>
      </c>
      <c r="L9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93" spans="1:12" x14ac:dyDescent="0.3">
      <c r="A993">
        <v>992</v>
      </c>
      <c r="B993" s="1">
        <v>44947</v>
      </c>
      <c r="C993" s="1" t="str">
        <f>TEXT(RetailStore[[#This Row],[Date]],"mmm")</f>
        <v>Jan</v>
      </c>
      <c r="D993">
        <v>2023</v>
      </c>
      <c r="E993" t="s">
        <v>1006</v>
      </c>
      <c r="F993" t="s">
        <v>11</v>
      </c>
      <c r="G993">
        <v>37</v>
      </c>
      <c r="H993" t="s">
        <v>15</v>
      </c>
      <c r="I993">
        <v>2</v>
      </c>
      <c r="J993">
        <v>290</v>
      </c>
      <c r="K993">
        <v>580</v>
      </c>
      <c r="L9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94" spans="1:12" x14ac:dyDescent="0.3">
      <c r="A994">
        <v>993</v>
      </c>
      <c r="B994" s="1">
        <v>44976</v>
      </c>
      <c r="C994" s="1" t="str">
        <f>TEXT(RetailStore[[#This Row],[Date]],"mmm")</f>
        <v>Feb</v>
      </c>
      <c r="D994">
        <v>2023</v>
      </c>
      <c r="E994" t="s">
        <v>1007</v>
      </c>
      <c r="F994" t="s">
        <v>11</v>
      </c>
      <c r="G994">
        <v>64</v>
      </c>
      <c r="H994" t="s">
        <v>15</v>
      </c>
      <c r="I994">
        <v>4</v>
      </c>
      <c r="J994">
        <v>122</v>
      </c>
      <c r="K994">
        <v>488</v>
      </c>
      <c r="L9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995" spans="1:12" x14ac:dyDescent="0.3">
      <c r="A995">
        <v>994</v>
      </c>
      <c r="B995" s="1">
        <v>45025</v>
      </c>
      <c r="C995" s="1" t="str">
        <f>TEXT(RetailStore[[#This Row],[Date]],"mmm")</f>
        <v>Apr</v>
      </c>
      <c r="D995">
        <v>2023</v>
      </c>
      <c r="E995" t="s">
        <v>1008</v>
      </c>
      <c r="F995" t="s">
        <v>11</v>
      </c>
      <c r="G995">
        <v>54</v>
      </c>
      <c r="H995" t="s">
        <v>12</v>
      </c>
      <c r="I995">
        <v>2</v>
      </c>
      <c r="J995">
        <v>310</v>
      </c>
      <c r="K995">
        <v>620</v>
      </c>
      <c r="L9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996" spans="1:12" x14ac:dyDescent="0.3">
      <c r="A996">
        <v>995</v>
      </c>
      <c r="B996" s="1">
        <v>45212</v>
      </c>
      <c r="C996" s="1" t="str">
        <f>TEXT(RetailStore[[#This Row],[Date]],"mmm")</f>
        <v>Oct</v>
      </c>
      <c r="D996">
        <v>2023</v>
      </c>
      <c r="E996" t="s">
        <v>1009</v>
      </c>
      <c r="F996" t="s">
        <v>18</v>
      </c>
      <c r="G996">
        <v>24</v>
      </c>
      <c r="H996" t="s">
        <v>12</v>
      </c>
      <c r="I996">
        <v>3</v>
      </c>
      <c r="J996">
        <v>370</v>
      </c>
      <c r="K996">
        <v>1110</v>
      </c>
      <c r="L9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97" spans="1:12" x14ac:dyDescent="0.3">
      <c r="A997">
        <v>996</v>
      </c>
      <c r="B997" s="1">
        <v>45161</v>
      </c>
      <c r="C997" s="1" t="str">
        <f>TEXT(RetailStore[[#This Row],[Date]],"mmm")</f>
        <v>Aug</v>
      </c>
      <c r="D997">
        <v>2023</v>
      </c>
      <c r="E997" t="s">
        <v>1010</v>
      </c>
      <c r="F997" t="s">
        <v>18</v>
      </c>
      <c r="G997">
        <v>24</v>
      </c>
      <c r="H997" t="s">
        <v>15</v>
      </c>
      <c r="I997">
        <v>2</v>
      </c>
      <c r="J997">
        <v>306</v>
      </c>
      <c r="K997">
        <v>612</v>
      </c>
      <c r="L9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98" spans="1:12" x14ac:dyDescent="0.3">
      <c r="A998">
        <v>997</v>
      </c>
      <c r="B998" s="1">
        <v>45132</v>
      </c>
      <c r="C998" s="1" t="str">
        <f>TEXT(RetailStore[[#This Row],[Date]],"mmm")</f>
        <v>Jul</v>
      </c>
      <c r="D998">
        <v>2023</v>
      </c>
      <c r="E998" t="s">
        <v>1011</v>
      </c>
      <c r="F998" t="s">
        <v>18</v>
      </c>
      <c r="G998">
        <v>60</v>
      </c>
      <c r="H998" t="s">
        <v>15</v>
      </c>
      <c r="I998">
        <v>4</v>
      </c>
      <c r="J998">
        <v>205</v>
      </c>
      <c r="K998">
        <v>820</v>
      </c>
      <c r="L9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999" spans="1:12" x14ac:dyDescent="0.3">
      <c r="A999">
        <v>998</v>
      </c>
      <c r="B999" s="1">
        <v>45088</v>
      </c>
      <c r="C999" s="1" t="str">
        <f>TEXT(RetailStore[[#This Row],[Date]],"mmm")</f>
        <v>Jun</v>
      </c>
      <c r="D999">
        <v>2023</v>
      </c>
      <c r="E999" t="s">
        <v>1012</v>
      </c>
      <c r="F999" t="s">
        <v>18</v>
      </c>
      <c r="G999">
        <v>41</v>
      </c>
      <c r="H999" t="s">
        <v>20</v>
      </c>
      <c r="I999">
        <v>4</v>
      </c>
      <c r="J999">
        <v>447</v>
      </c>
      <c r="K999">
        <v>1788</v>
      </c>
      <c r="L9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00" spans="1:12" x14ac:dyDescent="0.3">
      <c r="A1000">
        <v>999</v>
      </c>
      <c r="B1000" s="1">
        <v>45092</v>
      </c>
      <c r="C1000" s="1" t="str">
        <f>TEXT(RetailStore[[#This Row],[Date]],"mmm")</f>
        <v>Jun</v>
      </c>
      <c r="D1000">
        <v>2023</v>
      </c>
      <c r="E1000" t="s">
        <v>1013</v>
      </c>
      <c r="F1000" t="s">
        <v>11</v>
      </c>
      <c r="G1000">
        <v>54</v>
      </c>
      <c r="H1000" t="s">
        <v>12</v>
      </c>
      <c r="I1000">
        <v>2</v>
      </c>
      <c r="J1000">
        <v>217</v>
      </c>
      <c r="K1000">
        <v>434</v>
      </c>
      <c r="L10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01" spans="1:12" x14ac:dyDescent="0.3">
      <c r="A1001">
        <v>1000</v>
      </c>
      <c r="B1001" s="1">
        <v>45208</v>
      </c>
      <c r="C1001" s="1" t="str">
        <f>TEXT(RetailStore[[#This Row],[Date]],"mmm")</f>
        <v>Oct</v>
      </c>
      <c r="D1001">
        <v>2023</v>
      </c>
      <c r="E1001" t="s">
        <v>1014</v>
      </c>
      <c r="F1001" t="s">
        <v>18</v>
      </c>
      <c r="G1001">
        <v>41</v>
      </c>
      <c r="H1001" t="s">
        <v>20</v>
      </c>
      <c r="I1001">
        <v>4</v>
      </c>
      <c r="J1001">
        <v>228</v>
      </c>
      <c r="K1001">
        <v>912</v>
      </c>
      <c r="L10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02" spans="1:12" x14ac:dyDescent="0.3">
      <c r="A1002">
        <v>1001</v>
      </c>
      <c r="B1002" s="1">
        <v>45292</v>
      </c>
      <c r="C1002" s="1" t="str">
        <f>TEXT(RetailStore[[#This Row],[Date]],"mmm")</f>
        <v>Jan</v>
      </c>
      <c r="D1002">
        <v>2024</v>
      </c>
      <c r="E1002" t="s">
        <v>1015</v>
      </c>
      <c r="F1002" t="s">
        <v>11</v>
      </c>
      <c r="G1002">
        <v>36</v>
      </c>
      <c r="H1002" t="s">
        <v>12</v>
      </c>
      <c r="I1002">
        <v>1</v>
      </c>
      <c r="J1002">
        <v>290</v>
      </c>
      <c r="K1002">
        <v>290</v>
      </c>
      <c r="L10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03" spans="1:12" x14ac:dyDescent="0.3">
      <c r="A1003">
        <v>1002</v>
      </c>
      <c r="B1003" s="1">
        <v>45361</v>
      </c>
      <c r="C1003" s="1" t="str">
        <f>TEXT(RetailStore[[#This Row],[Date]],"mmm")</f>
        <v>Mar</v>
      </c>
      <c r="D1003">
        <v>2024</v>
      </c>
      <c r="E1003" t="s">
        <v>1016</v>
      </c>
      <c r="F1003" t="s">
        <v>18</v>
      </c>
      <c r="G1003">
        <v>18</v>
      </c>
      <c r="H1003" t="s">
        <v>20</v>
      </c>
      <c r="I1003">
        <v>2</v>
      </c>
      <c r="J1003">
        <v>134</v>
      </c>
      <c r="K1003">
        <v>268</v>
      </c>
      <c r="L10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04" spans="1:12" x14ac:dyDescent="0.3">
      <c r="A1004">
        <v>1003</v>
      </c>
      <c r="B1004" s="1">
        <v>45453</v>
      </c>
      <c r="C1004" s="1" t="str">
        <f>TEXT(RetailStore[[#This Row],[Date]],"mmm")</f>
        <v>Jun</v>
      </c>
      <c r="D1004">
        <v>2024</v>
      </c>
      <c r="E1004" t="s">
        <v>1017</v>
      </c>
      <c r="F1004" t="s">
        <v>11</v>
      </c>
      <c r="G1004">
        <v>62</v>
      </c>
      <c r="H1004" t="s">
        <v>20</v>
      </c>
      <c r="I1004">
        <v>2</v>
      </c>
      <c r="J1004">
        <v>73</v>
      </c>
      <c r="K1004">
        <v>146</v>
      </c>
      <c r="L10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05" spans="1:12" x14ac:dyDescent="0.3">
      <c r="A1005">
        <v>1004</v>
      </c>
      <c r="B1005" s="1">
        <v>45311</v>
      </c>
      <c r="C1005" s="1" t="str">
        <f>TEXT(RetailStore[[#This Row],[Date]],"mmm")</f>
        <v>Jan</v>
      </c>
      <c r="D1005">
        <v>2024</v>
      </c>
      <c r="E1005" t="s">
        <v>1018</v>
      </c>
      <c r="F1005" t="s">
        <v>18</v>
      </c>
      <c r="G1005">
        <v>40</v>
      </c>
      <c r="H1005" t="s">
        <v>15</v>
      </c>
      <c r="I1005">
        <v>2</v>
      </c>
      <c r="J1005">
        <v>160</v>
      </c>
      <c r="K1005">
        <v>320</v>
      </c>
      <c r="L10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06" spans="1:12" x14ac:dyDescent="0.3">
      <c r="A1006">
        <v>1005</v>
      </c>
      <c r="B1006" s="1">
        <v>45479</v>
      </c>
      <c r="C1006" s="1" t="str">
        <f>TEXT(RetailStore[[#This Row],[Date]],"mmm")</f>
        <v>Jul</v>
      </c>
      <c r="D1006">
        <v>2024</v>
      </c>
      <c r="E1006" t="s">
        <v>1019</v>
      </c>
      <c r="F1006" t="s">
        <v>11</v>
      </c>
      <c r="G1006">
        <v>32</v>
      </c>
      <c r="H1006" t="s">
        <v>20</v>
      </c>
      <c r="I1006">
        <v>3</v>
      </c>
      <c r="J1006">
        <v>72</v>
      </c>
      <c r="K1006">
        <v>216</v>
      </c>
      <c r="L10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07" spans="1:12" x14ac:dyDescent="0.3">
      <c r="A1007">
        <v>1006</v>
      </c>
      <c r="B1007" s="1">
        <v>45584</v>
      </c>
      <c r="C1007" s="1" t="str">
        <f>TEXT(RetailStore[[#This Row],[Date]],"mmm")</f>
        <v>Oct</v>
      </c>
      <c r="D1007">
        <v>2024</v>
      </c>
      <c r="E1007" t="s">
        <v>1020</v>
      </c>
      <c r="F1007" t="s">
        <v>18</v>
      </c>
      <c r="G1007">
        <v>54</v>
      </c>
      <c r="H1007" t="s">
        <v>15</v>
      </c>
      <c r="I1007">
        <v>1</v>
      </c>
      <c r="J1007">
        <v>395</v>
      </c>
      <c r="K1007">
        <v>395</v>
      </c>
      <c r="L10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08" spans="1:12" x14ac:dyDescent="0.3">
      <c r="A1008">
        <v>1007</v>
      </c>
      <c r="B1008" s="1">
        <v>45458</v>
      </c>
      <c r="C1008" s="1" t="str">
        <f>TEXT(RetailStore[[#This Row],[Date]],"mmm")</f>
        <v>Jun</v>
      </c>
      <c r="D1008">
        <v>2024</v>
      </c>
      <c r="E1008" t="s">
        <v>1021</v>
      </c>
      <c r="F1008" t="s">
        <v>18</v>
      </c>
      <c r="G1008">
        <v>29</v>
      </c>
      <c r="H1008" t="s">
        <v>20</v>
      </c>
      <c r="I1008">
        <v>1</v>
      </c>
      <c r="J1008">
        <v>329</v>
      </c>
      <c r="K1008">
        <v>329</v>
      </c>
      <c r="L10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09" spans="1:12" x14ac:dyDescent="0.3">
      <c r="A1009">
        <v>1008</v>
      </c>
      <c r="B1009" s="1">
        <v>45620</v>
      </c>
      <c r="C1009" s="1" t="str">
        <f>TEXT(RetailStore[[#This Row],[Date]],"mmm")</f>
        <v>Nov</v>
      </c>
      <c r="D1009">
        <v>2024</v>
      </c>
      <c r="E1009" t="s">
        <v>1022</v>
      </c>
      <c r="F1009" t="s">
        <v>18</v>
      </c>
      <c r="G1009">
        <v>20</v>
      </c>
      <c r="H1009" t="s">
        <v>12</v>
      </c>
      <c r="I1009">
        <v>4</v>
      </c>
      <c r="J1009">
        <v>65</v>
      </c>
      <c r="K1009">
        <v>260</v>
      </c>
      <c r="L10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10" spans="1:12" x14ac:dyDescent="0.3">
      <c r="A1010">
        <v>1009</v>
      </c>
      <c r="B1010" s="1">
        <v>45320</v>
      </c>
      <c r="C1010" s="1" t="str">
        <f>TEXT(RetailStore[[#This Row],[Date]],"mmm")</f>
        <v>Jan</v>
      </c>
      <c r="D1010">
        <v>2024</v>
      </c>
      <c r="E1010" t="s">
        <v>1023</v>
      </c>
      <c r="F1010" t="s">
        <v>18</v>
      </c>
      <c r="G1010">
        <v>40</v>
      </c>
      <c r="H1010" t="s">
        <v>20</v>
      </c>
      <c r="I1010">
        <v>4</v>
      </c>
      <c r="J1010">
        <v>469</v>
      </c>
      <c r="K1010">
        <v>1876</v>
      </c>
      <c r="L10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11" spans="1:12" x14ac:dyDescent="0.3">
      <c r="A1011">
        <v>1010</v>
      </c>
      <c r="B1011" s="1">
        <v>45353</v>
      </c>
      <c r="C1011" s="1" t="str">
        <f>TEXT(RetailStore[[#This Row],[Date]],"mmm")</f>
        <v>Mar</v>
      </c>
      <c r="D1011">
        <v>2024</v>
      </c>
      <c r="E1011" t="s">
        <v>1024</v>
      </c>
      <c r="F1011" t="s">
        <v>11</v>
      </c>
      <c r="G1011">
        <v>59</v>
      </c>
      <c r="H1011" t="s">
        <v>12</v>
      </c>
      <c r="I1011">
        <v>1</v>
      </c>
      <c r="J1011">
        <v>349</v>
      </c>
      <c r="K1011">
        <v>349</v>
      </c>
      <c r="L10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12" spans="1:12" x14ac:dyDescent="0.3">
      <c r="A1012">
        <v>1011</v>
      </c>
      <c r="B1012" s="1">
        <v>45615</v>
      </c>
      <c r="C1012" s="1" t="str">
        <f>TEXT(RetailStore[[#This Row],[Date]],"mmm")</f>
        <v>Nov</v>
      </c>
      <c r="D1012">
        <v>2024</v>
      </c>
      <c r="E1012" t="s">
        <v>1025</v>
      </c>
      <c r="F1012" t="s">
        <v>18</v>
      </c>
      <c r="G1012">
        <v>21</v>
      </c>
      <c r="H1012" t="s">
        <v>20</v>
      </c>
      <c r="I1012">
        <v>1</v>
      </c>
      <c r="J1012">
        <v>188</v>
      </c>
      <c r="K1012">
        <v>188</v>
      </c>
      <c r="L10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13" spans="1:12" x14ac:dyDescent="0.3">
      <c r="A1013">
        <v>1012</v>
      </c>
      <c r="B1013" s="1">
        <v>45568</v>
      </c>
      <c r="C1013" s="1" t="str">
        <f>TEXT(RetailStore[[#This Row],[Date]],"mmm")</f>
        <v>Oct</v>
      </c>
      <c r="D1013">
        <v>2024</v>
      </c>
      <c r="E1013" t="s">
        <v>1026</v>
      </c>
      <c r="F1013" t="s">
        <v>11</v>
      </c>
      <c r="G1013">
        <v>38</v>
      </c>
      <c r="H1013" t="s">
        <v>12</v>
      </c>
      <c r="I1013">
        <v>2</v>
      </c>
      <c r="J1013">
        <v>103</v>
      </c>
      <c r="K1013">
        <v>206</v>
      </c>
      <c r="L10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14" spans="1:12" x14ac:dyDescent="0.3">
      <c r="A1014">
        <v>1013</v>
      </c>
      <c r="B1014" s="1">
        <v>45317</v>
      </c>
      <c r="C1014" s="1" t="str">
        <f>TEXT(RetailStore[[#This Row],[Date]],"mmm")</f>
        <v>Jan</v>
      </c>
      <c r="D1014">
        <v>2024</v>
      </c>
      <c r="E1014" t="s">
        <v>1027</v>
      </c>
      <c r="F1014" t="s">
        <v>18</v>
      </c>
      <c r="G1014">
        <v>46</v>
      </c>
      <c r="H1014" t="s">
        <v>12</v>
      </c>
      <c r="I1014">
        <v>1</v>
      </c>
      <c r="J1014">
        <v>138</v>
      </c>
      <c r="K1014">
        <v>138</v>
      </c>
      <c r="L10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15" spans="1:12" x14ac:dyDescent="0.3">
      <c r="A1015">
        <v>1014</v>
      </c>
      <c r="B1015" s="1">
        <v>45513</v>
      </c>
      <c r="C1015" s="1" t="str">
        <f>TEXT(RetailStore[[#This Row],[Date]],"mmm")</f>
        <v>Aug</v>
      </c>
      <c r="D1015">
        <v>2024</v>
      </c>
      <c r="E1015" t="s">
        <v>1028</v>
      </c>
      <c r="F1015" t="s">
        <v>18</v>
      </c>
      <c r="G1015">
        <v>43</v>
      </c>
      <c r="H1015" t="s">
        <v>15</v>
      </c>
      <c r="I1015">
        <v>2</v>
      </c>
      <c r="J1015">
        <v>197</v>
      </c>
      <c r="K1015">
        <v>394</v>
      </c>
      <c r="L10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16" spans="1:12" x14ac:dyDescent="0.3">
      <c r="A1016">
        <v>1015</v>
      </c>
      <c r="B1016" s="1">
        <v>45334</v>
      </c>
      <c r="C1016" s="1" t="str">
        <f>TEXT(RetailStore[[#This Row],[Date]],"mmm")</f>
        <v>Feb</v>
      </c>
      <c r="D1016">
        <v>2024</v>
      </c>
      <c r="E1016" t="s">
        <v>1029</v>
      </c>
      <c r="F1016" t="s">
        <v>18</v>
      </c>
      <c r="G1016">
        <v>54</v>
      </c>
      <c r="H1016" t="s">
        <v>12</v>
      </c>
      <c r="I1016">
        <v>1</v>
      </c>
      <c r="J1016">
        <v>305</v>
      </c>
      <c r="K1016">
        <v>305</v>
      </c>
      <c r="L10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17" spans="1:12" x14ac:dyDescent="0.3">
      <c r="A1017">
        <v>1016</v>
      </c>
      <c r="B1017" s="1">
        <v>45496</v>
      </c>
      <c r="C1017" s="1" t="str">
        <f>TEXT(RetailStore[[#This Row],[Date]],"mmm")</f>
        <v>Jul</v>
      </c>
      <c r="D1017">
        <v>2024</v>
      </c>
      <c r="E1017" t="s">
        <v>1030</v>
      </c>
      <c r="F1017" t="s">
        <v>18</v>
      </c>
      <c r="G1017">
        <v>23</v>
      </c>
      <c r="H1017" t="s">
        <v>20</v>
      </c>
      <c r="I1017">
        <v>4</v>
      </c>
      <c r="J1017">
        <v>421</v>
      </c>
      <c r="K1017">
        <v>1684</v>
      </c>
      <c r="L10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18" spans="1:12" x14ac:dyDescent="0.3">
      <c r="A1018">
        <v>1017</v>
      </c>
      <c r="B1018" s="1">
        <v>45649</v>
      </c>
      <c r="C1018" s="1" t="str">
        <f>TEXT(RetailStore[[#This Row],[Date]],"mmm")</f>
        <v>Dec</v>
      </c>
      <c r="D1018">
        <v>2024</v>
      </c>
      <c r="E1018" t="s">
        <v>1031</v>
      </c>
      <c r="F1018" t="s">
        <v>11</v>
      </c>
      <c r="G1018">
        <v>26</v>
      </c>
      <c r="H1018" t="s">
        <v>20</v>
      </c>
      <c r="I1018">
        <v>2</v>
      </c>
      <c r="J1018">
        <v>274</v>
      </c>
      <c r="K1018">
        <v>548</v>
      </c>
      <c r="L10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19" spans="1:12" x14ac:dyDescent="0.3">
      <c r="A1019">
        <v>1018</v>
      </c>
      <c r="B1019" s="1">
        <v>45494</v>
      </c>
      <c r="C1019" s="1" t="str">
        <f>TEXT(RetailStore[[#This Row],[Date]],"mmm")</f>
        <v>Jul</v>
      </c>
      <c r="D1019">
        <v>2024</v>
      </c>
      <c r="E1019" t="s">
        <v>1032</v>
      </c>
      <c r="F1019" t="s">
        <v>11</v>
      </c>
      <c r="G1019">
        <v>53</v>
      </c>
      <c r="H1019" t="s">
        <v>12</v>
      </c>
      <c r="I1019">
        <v>2</v>
      </c>
      <c r="J1019">
        <v>149</v>
      </c>
      <c r="K1019">
        <v>298</v>
      </c>
      <c r="L10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20" spans="1:12" x14ac:dyDescent="0.3">
      <c r="A1020">
        <v>1019</v>
      </c>
      <c r="B1020" s="1">
        <v>45328</v>
      </c>
      <c r="C1020" s="1" t="str">
        <f>TEXT(RetailStore[[#This Row],[Date]],"mmm")</f>
        <v>Feb</v>
      </c>
      <c r="D1020">
        <v>2024</v>
      </c>
      <c r="E1020" t="s">
        <v>1033</v>
      </c>
      <c r="F1020" t="s">
        <v>18</v>
      </c>
      <c r="G1020">
        <v>45</v>
      </c>
      <c r="H1020" t="s">
        <v>20</v>
      </c>
      <c r="I1020">
        <v>1</v>
      </c>
      <c r="J1020">
        <v>82</v>
      </c>
      <c r="K1020">
        <v>82</v>
      </c>
      <c r="L10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21" spans="1:12" x14ac:dyDescent="0.3">
      <c r="A1021">
        <v>1020</v>
      </c>
      <c r="B1021" s="1">
        <v>45635</v>
      </c>
      <c r="C1021" s="1" t="str">
        <f>TEXT(RetailStore[[#This Row],[Date]],"mmm")</f>
        <v>Dec</v>
      </c>
      <c r="D1021">
        <v>2024</v>
      </c>
      <c r="E1021" t="s">
        <v>1034</v>
      </c>
      <c r="F1021" t="s">
        <v>18</v>
      </c>
      <c r="G1021">
        <v>45</v>
      </c>
      <c r="H1021" t="s">
        <v>20</v>
      </c>
      <c r="I1021">
        <v>3</v>
      </c>
      <c r="J1021">
        <v>122</v>
      </c>
      <c r="K1021">
        <v>366</v>
      </c>
      <c r="L10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22" spans="1:12" x14ac:dyDescent="0.3">
      <c r="A1022">
        <v>1021</v>
      </c>
      <c r="B1022" s="1">
        <v>45456</v>
      </c>
      <c r="C1022" s="1" t="str">
        <f>TEXT(RetailStore[[#This Row],[Date]],"mmm")</f>
        <v>Jun</v>
      </c>
      <c r="D1022">
        <v>2024</v>
      </c>
      <c r="E1022" t="s">
        <v>1035</v>
      </c>
      <c r="F1022" t="s">
        <v>18</v>
      </c>
      <c r="G1022">
        <v>56</v>
      </c>
      <c r="H1022" t="s">
        <v>12</v>
      </c>
      <c r="I1022">
        <v>1</v>
      </c>
      <c r="J1022">
        <v>419</v>
      </c>
      <c r="K1022">
        <v>419</v>
      </c>
      <c r="L10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23" spans="1:12" x14ac:dyDescent="0.3">
      <c r="A1023">
        <v>1022</v>
      </c>
      <c r="B1023" s="1">
        <v>45448</v>
      </c>
      <c r="C1023" s="1" t="str">
        <f>TEXT(RetailStore[[#This Row],[Date]],"mmm")</f>
        <v>Jun</v>
      </c>
      <c r="D1023">
        <v>2024</v>
      </c>
      <c r="E1023" t="s">
        <v>1036</v>
      </c>
      <c r="F1023" t="s">
        <v>11</v>
      </c>
      <c r="G1023">
        <v>40</v>
      </c>
      <c r="H1023" t="s">
        <v>12</v>
      </c>
      <c r="I1023">
        <v>4</v>
      </c>
      <c r="J1023">
        <v>344</v>
      </c>
      <c r="K1023">
        <v>1376</v>
      </c>
      <c r="L10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24" spans="1:12" x14ac:dyDescent="0.3">
      <c r="A1024">
        <v>1023</v>
      </c>
      <c r="B1024" s="1">
        <v>45366</v>
      </c>
      <c r="C1024" s="1" t="str">
        <f>TEXT(RetailStore[[#This Row],[Date]],"mmm")</f>
        <v>Mar</v>
      </c>
      <c r="D1024">
        <v>2024</v>
      </c>
      <c r="E1024" t="s">
        <v>1037</v>
      </c>
      <c r="F1024" t="s">
        <v>18</v>
      </c>
      <c r="G1024">
        <v>20</v>
      </c>
      <c r="H1024" t="s">
        <v>15</v>
      </c>
      <c r="I1024">
        <v>2</v>
      </c>
      <c r="J1024">
        <v>375</v>
      </c>
      <c r="K1024">
        <v>750</v>
      </c>
      <c r="L10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25" spans="1:12" x14ac:dyDescent="0.3">
      <c r="A1025">
        <v>1024</v>
      </c>
      <c r="B1025" s="1">
        <v>45483</v>
      </c>
      <c r="C1025" s="1" t="str">
        <f>TEXT(RetailStore[[#This Row],[Date]],"mmm")</f>
        <v>Jul</v>
      </c>
      <c r="D1025">
        <v>2024</v>
      </c>
      <c r="E1025" t="s">
        <v>1038</v>
      </c>
      <c r="F1025" t="s">
        <v>11</v>
      </c>
      <c r="G1025">
        <v>64</v>
      </c>
      <c r="H1025" t="s">
        <v>15</v>
      </c>
      <c r="I1025">
        <v>1</v>
      </c>
      <c r="J1025">
        <v>403</v>
      </c>
      <c r="K1025">
        <v>403</v>
      </c>
      <c r="L10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26" spans="1:12" x14ac:dyDescent="0.3">
      <c r="A1026">
        <v>1025</v>
      </c>
      <c r="B1026" s="1">
        <v>45319</v>
      </c>
      <c r="C1026" s="1" t="str">
        <f>TEXT(RetailStore[[#This Row],[Date]],"mmm")</f>
        <v>Jan</v>
      </c>
      <c r="D1026">
        <v>2024</v>
      </c>
      <c r="E1026" t="s">
        <v>1039</v>
      </c>
      <c r="F1026" t="s">
        <v>11</v>
      </c>
      <c r="G1026">
        <v>57</v>
      </c>
      <c r="H1026" t="s">
        <v>15</v>
      </c>
      <c r="I1026">
        <v>3</v>
      </c>
      <c r="J1026">
        <v>32</v>
      </c>
      <c r="K1026">
        <v>96</v>
      </c>
      <c r="L10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27" spans="1:12" x14ac:dyDescent="0.3">
      <c r="A1027">
        <v>1026</v>
      </c>
      <c r="B1027" s="1">
        <v>45467</v>
      </c>
      <c r="C1027" s="1" t="str">
        <f>TEXT(RetailStore[[#This Row],[Date]],"mmm")</f>
        <v>Jun</v>
      </c>
      <c r="D1027">
        <v>2024</v>
      </c>
      <c r="E1027" t="s">
        <v>1040</v>
      </c>
      <c r="F1027" t="s">
        <v>11</v>
      </c>
      <c r="G1027">
        <v>37</v>
      </c>
      <c r="H1027" t="s">
        <v>20</v>
      </c>
      <c r="I1027">
        <v>4</v>
      </c>
      <c r="J1027">
        <v>36</v>
      </c>
      <c r="K1027">
        <v>144</v>
      </c>
      <c r="L10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28" spans="1:12" x14ac:dyDescent="0.3">
      <c r="A1028">
        <v>1027</v>
      </c>
      <c r="B1028" s="1">
        <v>45461</v>
      </c>
      <c r="C1028" s="1" t="str">
        <f>TEXT(RetailStore[[#This Row],[Date]],"mmm")</f>
        <v>Jun</v>
      </c>
      <c r="D1028">
        <v>2024</v>
      </c>
      <c r="E1028" t="s">
        <v>1041</v>
      </c>
      <c r="F1028" t="s">
        <v>11</v>
      </c>
      <c r="G1028">
        <v>52</v>
      </c>
      <c r="H1028" t="s">
        <v>15</v>
      </c>
      <c r="I1028">
        <v>2</v>
      </c>
      <c r="J1028">
        <v>304</v>
      </c>
      <c r="K1028">
        <v>608</v>
      </c>
      <c r="L10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29" spans="1:12" x14ac:dyDescent="0.3">
      <c r="A1029">
        <v>1028</v>
      </c>
      <c r="B1029" s="1">
        <v>45559</v>
      </c>
      <c r="C1029" s="1" t="str">
        <f>TEXT(RetailStore[[#This Row],[Date]],"mmm")</f>
        <v>Sep</v>
      </c>
      <c r="D1029">
        <v>2024</v>
      </c>
      <c r="E1029" t="s">
        <v>1042</v>
      </c>
      <c r="F1029" t="s">
        <v>18</v>
      </c>
      <c r="G1029">
        <v>53</v>
      </c>
      <c r="H1029" t="s">
        <v>20</v>
      </c>
      <c r="I1029">
        <v>2</v>
      </c>
      <c r="J1029">
        <v>380</v>
      </c>
      <c r="K1029">
        <v>760</v>
      </c>
      <c r="L10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30" spans="1:12" x14ac:dyDescent="0.3">
      <c r="A1030">
        <v>1029</v>
      </c>
      <c r="B1030" s="1">
        <v>45649</v>
      </c>
      <c r="C1030" s="1" t="str">
        <f>TEXT(RetailStore[[#This Row],[Date]],"mmm")</f>
        <v>Dec</v>
      </c>
      <c r="D1030">
        <v>2024</v>
      </c>
      <c r="E1030" t="s">
        <v>1043</v>
      </c>
      <c r="F1030" t="s">
        <v>11</v>
      </c>
      <c r="G1030">
        <v>42</v>
      </c>
      <c r="H1030" t="s">
        <v>12</v>
      </c>
      <c r="I1030">
        <v>1</v>
      </c>
      <c r="J1030">
        <v>155</v>
      </c>
      <c r="K1030">
        <v>155</v>
      </c>
      <c r="L10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31" spans="1:12" x14ac:dyDescent="0.3">
      <c r="A1031">
        <v>1030</v>
      </c>
      <c r="B1031" s="1">
        <v>45379</v>
      </c>
      <c r="C1031" s="1" t="str">
        <f>TEXT(RetailStore[[#This Row],[Date]],"mmm")</f>
        <v>Mar</v>
      </c>
      <c r="D1031">
        <v>2024</v>
      </c>
      <c r="E1031" t="s">
        <v>1044</v>
      </c>
      <c r="F1031" t="s">
        <v>11</v>
      </c>
      <c r="G1031">
        <v>36</v>
      </c>
      <c r="H1031" t="s">
        <v>15</v>
      </c>
      <c r="I1031">
        <v>3</v>
      </c>
      <c r="J1031">
        <v>52</v>
      </c>
      <c r="K1031">
        <v>156</v>
      </c>
      <c r="L10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32" spans="1:12" x14ac:dyDescent="0.3">
      <c r="A1032">
        <v>1031</v>
      </c>
      <c r="B1032" s="1">
        <v>45530</v>
      </c>
      <c r="C1032" s="1" t="str">
        <f>TEXT(RetailStore[[#This Row],[Date]],"mmm")</f>
        <v>Aug</v>
      </c>
      <c r="D1032">
        <v>2024</v>
      </c>
      <c r="E1032" t="s">
        <v>1045</v>
      </c>
      <c r="F1032" t="s">
        <v>11</v>
      </c>
      <c r="G1032">
        <v>22</v>
      </c>
      <c r="H1032" t="s">
        <v>20</v>
      </c>
      <c r="I1032">
        <v>3</v>
      </c>
      <c r="J1032">
        <v>364</v>
      </c>
      <c r="K1032">
        <v>1092</v>
      </c>
      <c r="L10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33" spans="1:12" x14ac:dyDescent="0.3">
      <c r="A1033">
        <v>1032</v>
      </c>
      <c r="B1033" s="1">
        <v>45629</v>
      </c>
      <c r="C1033" s="1" t="str">
        <f>TEXT(RetailStore[[#This Row],[Date]],"mmm")</f>
        <v>Dec</v>
      </c>
      <c r="D1033">
        <v>2024</v>
      </c>
      <c r="E1033" t="s">
        <v>1046</v>
      </c>
      <c r="F1033" t="s">
        <v>18</v>
      </c>
      <c r="G1033">
        <v>24</v>
      </c>
      <c r="H1033" t="s">
        <v>15</v>
      </c>
      <c r="I1033">
        <v>3</v>
      </c>
      <c r="J1033">
        <v>469</v>
      </c>
      <c r="K1033">
        <v>1407</v>
      </c>
      <c r="L10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34" spans="1:12" x14ac:dyDescent="0.3">
      <c r="A1034">
        <v>1033</v>
      </c>
      <c r="B1034" s="1">
        <v>45624</v>
      </c>
      <c r="C1034" s="1" t="str">
        <f>TEXT(RetailStore[[#This Row],[Date]],"mmm")</f>
        <v>Nov</v>
      </c>
      <c r="D1034">
        <v>2024</v>
      </c>
      <c r="E1034" t="s">
        <v>1047</v>
      </c>
      <c r="F1034" t="s">
        <v>18</v>
      </c>
      <c r="G1034">
        <v>32</v>
      </c>
      <c r="H1034" t="s">
        <v>20</v>
      </c>
      <c r="I1034">
        <v>1</v>
      </c>
      <c r="J1034">
        <v>487</v>
      </c>
      <c r="K1034">
        <v>487</v>
      </c>
      <c r="L10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35" spans="1:12" x14ac:dyDescent="0.3">
      <c r="A1035">
        <v>1034</v>
      </c>
      <c r="B1035" s="1">
        <v>45453</v>
      </c>
      <c r="C1035" s="1" t="str">
        <f>TEXT(RetailStore[[#This Row],[Date]],"mmm")</f>
        <v>Jun</v>
      </c>
      <c r="D1035">
        <v>2024</v>
      </c>
      <c r="E1035" t="s">
        <v>1048</v>
      </c>
      <c r="F1035" t="s">
        <v>18</v>
      </c>
      <c r="G1035">
        <v>56</v>
      </c>
      <c r="H1035" t="s">
        <v>12</v>
      </c>
      <c r="I1035">
        <v>1</v>
      </c>
      <c r="J1035">
        <v>120</v>
      </c>
      <c r="K1035">
        <v>120</v>
      </c>
      <c r="L10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36" spans="1:12" x14ac:dyDescent="0.3">
      <c r="A1036">
        <v>1035</v>
      </c>
      <c r="B1036" s="1">
        <v>45393</v>
      </c>
      <c r="C1036" s="1" t="str">
        <f>TEXT(RetailStore[[#This Row],[Date]],"mmm")</f>
        <v>Apr</v>
      </c>
      <c r="D1036">
        <v>2024</v>
      </c>
      <c r="E1036" t="s">
        <v>1049</v>
      </c>
      <c r="F1036" t="s">
        <v>18</v>
      </c>
      <c r="G1036">
        <v>53</v>
      </c>
      <c r="H1036" t="s">
        <v>12</v>
      </c>
      <c r="I1036">
        <v>1</v>
      </c>
      <c r="J1036">
        <v>45</v>
      </c>
      <c r="K1036">
        <v>45</v>
      </c>
      <c r="L10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37" spans="1:12" x14ac:dyDescent="0.3">
      <c r="A1037">
        <v>1036</v>
      </c>
      <c r="B1037" s="1">
        <v>45418</v>
      </c>
      <c r="C1037" s="1" t="str">
        <f>TEXT(RetailStore[[#This Row],[Date]],"mmm")</f>
        <v>May</v>
      </c>
      <c r="D1037">
        <v>2024</v>
      </c>
      <c r="E1037" t="s">
        <v>1050</v>
      </c>
      <c r="F1037" t="s">
        <v>18</v>
      </c>
      <c r="G1037">
        <v>39</v>
      </c>
      <c r="H1037" t="s">
        <v>20</v>
      </c>
      <c r="I1037">
        <v>4</v>
      </c>
      <c r="J1037">
        <v>406</v>
      </c>
      <c r="K1037">
        <v>1624</v>
      </c>
      <c r="L10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38" spans="1:12" x14ac:dyDescent="0.3">
      <c r="A1038">
        <v>1037</v>
      </c>
      <c r="B1038" s="1">
        <v>45372</v>
      </c>
      <c r="C1038" s="1" t="str">
        <f>TEXT(RetailStore[[#This Row],[Date]],"mmm")</f>
        <v>Mar</v>
      </c>
      <c r="D1038">
        <v>2024</v>
      </c>
      <c r="E1038" t="s">
        <v>1051</v>
      </c>
      <c r="F1038" t="s">
        <v>11</v>
      </c>
      <c r="G1038">
        <v>40</v>
      </c>
      <c r="H1038" t="s">
        <v>12</v>
      </c>
      <c r="I1038">
        <v>3</v>
      </c>
      <c r="J1038">
        <v>206</v>
      </c>
      <c r="K1038">
        <v>618</v>
      </c>
      <c r="L10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39" spans="1:12" x14ac:dyDescent="0.3">
      <c r="A1039">
        <v>1038</v>
      </c>
      <c r="B1039" s="1">
        <v>45612</v>
      </c>
      <c r="C1039" s="1" t="str">
        <f>TEXT(RetailStore[[#This Row],[Date]],"mmm")</f>
        <v>Nov</v>
      </c>
      <c r="D1039">
        <v>2024</v>
      </c>
      <c r="E1039" t="s">
        <v>1052</v>
      </c>
      <c r="F1039" t="s">
        <v>18</v>
      </c>
      <c r="G1039">
        <v>33</v>
      </c>
      <c r="H1039" t="s">
        <v>12</v>
      </c>
      <c r="I1039">
        <v>3</v>
      </c>
      <c r="J1039">
        <v>440</v>
      </c>
      <c r="K1039">
        <v>1320</v>
      </c>
      <c r="L10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40" spans="1:12" x14ac:dyDescent="0.3">
      <c r="A1040">
        <v>1039</v>
      </c>
      <c r="B1040" s="1">
        <v>45323</v>
      </c>
      <c r="C1040" s="1" t="str">
        <f>TEXT(RetailStore[[#This Row],[Date]],"mmm")</f>
        <v>Feb</v>
      </c>
      <c r="D1040">
        <v>2024</v>
      </c>
      <c r="E1040" t="s">
        <v>1053</v>
      </c>
      <c r="F1040" t="s">
        <v>18</v>
      </c>
      <c r="G1040">
        <v>42</v>
      </c>
      <c r="H1040" t="s">
        <v>15</v>
      </c>
      <c r="I1040">
        <v>3</v>
      </c>
      <c r="J1040">
        <v>140</v>
      </c>
      <c r="K1040">
        <v>420</v>
      </c>
      <c r="L10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41" spans="1:12" x14ac:dyDescent="0.3">
      <c r="A1041">
        <v>1040</v>
      </c>
      <c r="B1041" s="1">
        <v>45369</v>
      </c>
      <c r="C1041" s="1" t="str">
        <f>TEXT(RetailStore[[#This Row],[Date]],"mmm")</f>
        <v>Mar</v>
      </c>
      <c r="D1041">
        <v>2024</v>
      </c>
      <c r="E1041" t="s">
        <v>1054</v>
      </c>
      <c r="F1041" t="s">
        <v>18</v>
      </c>
      <c r="G1041">
        <v>43</v>
      </c>
      <c r="H1041" t="s">
        <v>12</v>
      </c>
      <c r="I1041">
        <v>2</v>
      </c>
      <c r="J1041">
        <v>69</v>
      </c>
      <c r="K1041">
        <v>138</v>
      </c>
      <c r="L10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42" spans="1:12" x14ac:dyDescent="0.3">
      <c r="A1042">
        <v>1041</v>
      </c>
      <c r="B1042" s="1">
        <v>45487</v>
      </c>
      <c r="C1042" s="1" t="str">
        <f>TEXT(RetailStore[[#This Row],[Date]],"mmm")</f>
        <v>Jul</v>
      </c>
      <c r="D1042">
        <v>2024</v>
      </c>
      <c r="E1042" t="s">
        <v>1055</v>
      </c>
      <c r="F1042" t="s">
        <v>11</v>
      </c>
      <c r="G1042">
        <v>44</v>
      </c>
      <c r="H1042" t="s">
        <v>15</v>
      </c>
      <c r="I1042">
        <v>2</v>
      </c>
      <c r="J1042">
        <v>243</v>
      </c>
      <c r="K1042">
        <v>486</v>
      </c>
      <c r="L10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43" spans="1:12" x14ac:dyDescent="0.3">
      <c r="A1043">
        <v>1042</v>
      </c>
      <c r="B1043" s="1">
        <v>45451</v>
      </c>
      <c r="C1043" s="1" t="str">
        <f>TEXT(RetailStore[[#This Row],[Date]],"mmm")</f>
        <v>Jun</v>
      </c>
      <c r="D1043">
        <v>2024</v>
      </c>
      <c r="E1043" t="s">
        <v>1056</v>
      </c>
      <c r="F1043" t="s">
        <v>18</v>
      </c>
      <c r="G1043">
        <v>46</v>
      </c>
      <c r="H1043" t="s">
        <v>12</v>
      </c>
      <c r="I1043">
        <v>2</v>
      </c>
      <c r="J1043">
        <v>130</v>
      </c>
      <c r="K1043">
        <v>260</v>
      </c>
      <c r="L10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44" spans="1:12" x14ac:dyDescent="0.3">
      <c r="A1044">
        <v>1043</v>
      </c>
      <c r="B1044" s="1">
        <v>45626</v>
      </c>
      <c r="C1044" s="1" t="str">
        <f>TEXT(RetailStore[[#This Row],[Date]],"mmm")</f>
        <v>Nov</v>
      </c>
      <c r="D1044">
        <v>2024</v>
      </c>
      <c r="E1044" t="s">
        <v>1057</v>
      </c>
      <c r="F1044" t="s">
        <v>11</v>
      </c>
      <c r="G1044">
        <v>55</v>
      </c>
      <c r="H1044" t="s">
        <v>12</v>
      </c>
      <c r="I1044">
        <v>2</v>
      </c>
      <c r="J1044">
        <v>466</v>
      </c>
      <c r="K1044">
        <v>932</v>
      </c>
      <c r="L10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45" spans="1:12" x14ac:dyDescent="0.3">
      <c r="A1045">
        <v>1044</v>
      </c>
      <c r="B1045" s="1">
        <v>45362</v>
      </c>
      <c r="C1045" s="1" t="str">
        <f>TEXT(RetailStore[[#This Row],[Date]],"mmm")</f>
        <v>Mar</v>
      </c>
      <c r="D1045">
        <v>2024</v>
      </c>
      <c r="E1045" t="s">
        <v>1058</v>
      </c>
      <c r="F1045" t="s">
        <v>18</v>
      </c>
      <c r="G1045">
        <v>62</v>
      </c>
      <c r="H1045" t="s">
        <v>12</v>
      </c>
      <c r="I1045">
        <v>2</v>
      </c>
      <c r="J1045">
        <v>245</v>
      </c>
      <c r="K1045">
        <v>490</v>
      </c>
      <c r="L10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46" spans="1:12" x14ac:dyDescent="0.3">
      <c r="A1046">
        <v>1045</v>
      </c>
      <c r="B1046" s="1">
        <v>45366</v>
      </c>
      <c r="C1046" s="1" t="str">
        <f>TEXT(RetailStore[[#This Row],[Date]],"mmm")</f>
        <v>Mar</v>
      </c>
      <c r="D1046">
        <v>2024</v>
      </c>
      <c r="E1046" t="s">
        <v>1059</v>
      </c>
      <c r="F1046" t="s">
        <v>11</v>
      </c>
      <c r="G1046">
        <v>38</v>
      </c>
      <c r="H1046" t="s">
        <v>15</v>
      </c>
      <c r="I1046">
        <v>1</v>
      </c>
      <c r="J1046">
        <v>119</v>
      </c>
      <c r="K1046">
        <v>119</v>
      </c>
      <c r="L10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47" spans="1:12" x14ac:dyDescent="0.3">
      <c r="A1047">
        <v>1046</v>
      </c>
      <c r="B1047" s="1">
        <v>45454</v>
      </c>
      <c r="C1047" s="1" t="str">
        <f>TEXT(RetailStore[[#This Row],[Date]],"mmm")</f>
        <v>Jun</v>
      </c>
      <c r="D1047">
        <v>2024</v>
      </c>
      <c r="E1047" t="s">
        <v>1060</v>
      </c>
      <c r="F1047" t="s">
        <v>11</v>
      </c>
      <c r="G1047">
        <v>64</v>
      </c>
      <c r="H1047" t="s">
        <v>15</v>
      </c>
      <c r="I1047">
        <v>3</v>
      </c>
      <c r="J1047">
        <v>475</v>
      </c>
      <c r="K1047">
        <v>1425</v>
      </c>
      <c r="L10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48" spans="1:12" x14ac:dyDescent="0.3">
      <c r="A1048">
        <v>1047</v>
      </c>
      <c r="B1048" s="1">
        <v>45503</v>
      </c>
      <c r="C1048" s="1" t="str">
        <f>TEXT(RetailStore[[#This Row],[Date]],"mmm")</f>
        <v>Jul</v>
      </c>
      <c r="D1048">
        <v>2024</v>
      </c>
      <c r="E1048" t="s">
        <v>1061</v>
      </c>
      <c r="F1048" t="s">
        <v>18</v>
      </c>
      <c r="G1048">
        <v>37</v>
      </c>
      <c r="H1048" t="s">
        <v>20</v>
      </c>
      <c r="I1048">
        <v>3</v>
      </c>
      <c r="J1048">
        <v>102</v>
      </c>
      <c r="K1048">
        <v>306</v>
      </c>
      <c r="L10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49" spans="1:12" x14ac:dyDescent="0.3">
      <c r="A1049">
        <v>1048</v>
      </c>
      <c r="B1049" s="1">
        <v>45388</v>
      </c>
      <c r="C1049" s="1" t="str">
        <f>TEXT(RetailStore[[#This Row],[Date]],"mmm")</f>
        <v>Apr</v>
      </c>
      <c r="D1049">
        <v>2024</v>
      </c>
      <c r="E1049" t="s">
        <v>1062</v>
      </c>
      <c r="F1049" t="s">
        <v>11</v>
      </c>
      <c r="G1049">
        <v>26</v>
      </c>
      <c r="H1049" t="s">
        <v>15</v>
      </c>
      <c r="I1049">
        <v>1</v>
      </c>
      <c r="J1049">
        <v>415</v>
      </c>
      <c r="K1049">
        <v>415</v>
      </c>
      <c r="L10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50" spans="1:12" x14ac:dyDescent="0.3">
      <c r="A1050">
        <v>1049</v>
      </c>
      <c r="B1050" s="1">
        <v>45605</v>
      </c>
      <c r="C1050" s="1" t="str">
        <f>TEXT(RetailStore[[#This Row],[Date]],"mmm")</f>
        <v>Nov</v>
      </c>
      <c r="D1050">
        <v>2024</v>
      </c>
      <c r="E1050" t="s">
        <v>1063</v>
      </c>
      <c r="F1050" t="s">
        <v>18</v>
      </c>
      <c r="G1050">
        <v>56</v>
      </c>
      <c r="H1050" t="s">
        <v>12</v>
      </c>
      <c r="I1050">
        <v>2</v>
      </c>
      <c r="J1050">
        <v>330</v>
      </c>
      <c r="K1050">
        <v>660</v>
      </c>
      <c r="L10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51" spans="1:12" x14ac:dyDescent="0.3">
      <c r="A1051">
        <v>1050</v>
      </c>
      <c r="B1051" s="1">
        <v>45410</v>
      </c>
      <c r="C1051" s="1" t="str">
        <f>TEXT(RetailStore[[#This Row],[Date]],"mmm")</f>
        <v>Apr</v>
      </c>
      <c r="D1051">
        <v>2024</v>
      </c>
      <c r="E1051" t="s">
        <v>1064</v>
      </c>
      <c r="F1051" t="s">
        <v>11</v>
      </c>
      <c r="G1051">
        <v>61</v>
      </c>
      <c r="H1051" t="s">
        <v>15</v>
      </c>
      <c r="I1051">
        <v>3</v>
      </c>
      <c r="J1051">
        <v>65</v>
      </c>
      <c r="K1051">
        <v>195</v>
      </c>
      <c r="L10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52" spans="1:12" x14ac:dyDescent="0.3">
      <c r="A1052">
        <v>1051</v>
      </c>
      <c r="B1052" s="1">
        <v>45644</v>
      </c>
      <c r="C1052" s="1" t="str">
        <f>TEXT(RetailStore[[#This Row],[Date]],"mmm")</f>
        <v>Dec</v>
      </c>
      <c r="D1052">
        <v>2024</v>
      </c>
      <c r="E1052" t="s">
        <v>1065</v>
      </c>
      <c r="F1052" t="s">
        <v>18</v>
      </c>
      <c r="G1052">
        <v>26</v>
      </c>
      <c r="H1052" t="s">
        <v>12</v>
      </c>
      <c r="I1052">
        <v>4</v>
      </c>
      <c r="J1052">
        <v>389</v>
      </c>
      <c r="K1052">
        <v>1556</v>
      </c>
      <c r="L10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53" spans="1:12" x14ac:dyDescent="0.3">
      <c r="A1053">
        <v>1052</v>
      </c>
      <c r="B1053" s="1">
        <v>45624</v>
      </c>
      <c r="C1053" s="1" t="str">
        <f>TEXT(RetailStore[[#This Row],[Date]],"mmm")</f>
        <v>Nov</v>
      </c>
      <c r="D1053">
        <v>2024</v>
      </c>
      <c r="E1053" t="s">
        <v>1066</v>
      </c>
      <c r="F1053" t="s">
        <v>18</v>
      </c>
      <c r="G1053">
        <v>29</v>
      </c>
      <c r="H1053" t="s">
        <v>20</v>
      </c>
      <c r="I1053">
        <v>4</v>
      </c>
      <c r="J1053">
        <v>267</v>
      </c>
      <c r="K1053">
        <v>1068</v>
      </c>
      <c r="L10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54" spans="1:12" x14ac:dyDescent="0.3">
      <c r="A1054">
        <v>1053</v>
      </c>
      <c r="B1054" s="1">
        <v>45362</v>
      </c>
      <c r="C1054" s="1" t="str">
        <f>TEXT(RetailStore[[#This Row],[Date]],"mmm")</f>
        <v>Mar</v>
      </c>
      <c r="D1054">
        <v>2024</v>
      </c>
      <c r="E1054" t="s">
        <v>1067</v>
      </c>
      <c r="F1054" t="s">
        <v>11</v>
      </c>
      <c r="G1054">
        <v>30</v>
      </c>
      <c r="H1054" t="s">
        <v>15</v>
      </c>
      <c r="I1054">
        <v>1</v>
      </c>
      <c r="J1054">
        <v>234</v>
      </c>
      <c r="K1054">
        <v>234</v>
      </c>
      <c r="L10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55" spans="1:12" x14ac:dyDescent="0.3">
      <c r="A1055">
        <v>1054</v>
      </c>
      <c r="B1055" s="1">
        <v>45299</v>
      </c>
      <c r="C1055" s="1" t="str">
        <f>TEXT(RetailStore[[#This Row],[Date]],"mmm")</f>
        <v>Jan</v>
      </c>
      <c r="D1055">
        <v>2024</v>
      </c>
      <c r="E1055" t="s">
        <v>1068</v>
      </c>
      <c r="F1055" t="s">
        <v>18</v>
      </c>
      <c r="G1055">
        <v>44</v>
      </c>
      <c r="H1055" t="s">
        <v>15</v>
      </c>
      <c r="I1055">
        <v>2</v>
      </c>
      <c r="J1055">
        <v>412</v>
      </c>
      <c r="K1055">
        <v>824</v>
      </c>
      <c r="L10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56" spans="1:12" x14ac:dyDescent="0.3">
      <c r="A1056">
        <v>1055</v>
      </c>
      <c r="B1056" s="1">
        <v>45396</v>
      </c>
      <c r="C1056" s="1" t="str">
        <f>TEXT(RetailStore[[#This Row],[Date]],"mmm")</f>
        <v>Apr</v>
      </c>
      <c r="D1056">
        <v>2024</v>
      </c>
      <c r="E1056" t="s">
        <v>1069</v>
      </c>
      <c r="F1056" t="s">
        <v>11</v>
      </c>
      <c r="G1056">
        <v>29</v>
      </c>
      <c r="H1056" t="s">
        <v>20</v>
      </c>
      <c r="I1056">
        <v>4</v>
      </c>
      <c r="J1056">
        <v>377</v>
      </c>
      <c r="K1056">
        <v>1508</v>
      </c>
      <c r="L10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57" spans="1:12" x14ac:dyDescent="0.3">
      <c r="A1057">
        <v>1056</v>
      </c>
      <c r="B1057" s="1">
        <v>45458</v>
      </c>
      <c r="C1057" s="1" t="str">
        <f>TEXT(RetailStore[[#This Row],[Date]],"mmm")</f>
        <v>Jun</v>
      </c>
      <c r="D1057">
        <v>2024</v>
      </c>
      <c r="E1057" t="s">
        <v>1070</v>
      </c>
      <c r="F1057" t="s">
        <v>18</v>
      </c>
      <c r="G1057">
        <v>33</v>
      </c>
      <c r="H1057" t="s">
        <v>20</v>
      </c>
      <c r="I1057">
        <v>4</v>
      </c>
      <c r="J1057">
        <v>422</v>
      </c>
      <c r="K1057">
        <v>1688</v>
      </c>
      <c r="L10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58" spans="1:12" x14ac:dyDescent="0.3">
      <c r="A1058">
        <v>1057</v>
      </c>
      <c r="B1058" s="1">
        <v>45313</v>
      </c>
      <c r="C1058" s="1" t="str">
        <f>TEXT(RetailStore[[#This Row],[Date]],"mmm")</f>
        <v>Jan</v>
      </c>
      <c r="D1058">
        <v>2024</v>
      </c>
      <c r="E1058" t="s">
        <v>1071</v>
      </c>
      <c r="F1058" t="s">
        <v>18</v>
      </c>
      <c r="G1058">
        <v>64</v>
      </c>
      <c r="H1058" t="s">
        <v>20</v>
      </c>
      <c r="I1058">
        <v>4</v>
      </c>
      <c r="J1058">
        <v>338</v>
      </c>
      <c r="K1058">
        <v>1352</v>
      </c>
      <c r="L10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59" spans="1:12" x14ac:dyDescent="0.3">
      <c r="A1059">
        <v>1058</v>
      </c>
      <c r="B1059" s="1">
        <v>45584</v>
      </c>
      <c r="C1059" s="1" t="str">
        <f>TEXT(RetailStore[[#This Row],[Date]],"mmm")</f>
        <v>Oct</v>
      </c>
      <c r="D1059">
        <v>2024</v>
      </c>
      <c r="E1059" t="s">
        <v>1072</v>
      </c>
      <c r="F1059" t="s">
        <v>11</v>
      </c>
      <c r="G1059">
        <v>51</v>
      </c>
      <c r="H1059" t="s">
        <v>15</v>
      </c>
      <c r="I1059">
        <v>4</v>
      </c>
      <c r="J1059">
        <v>258</v>
      </c>
      <c r="K1059">
        <v>1032</v>
      </c>
      <c r="L10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60" spans="1:12" x14ac:dyDescent="0.3">
      <c r="A1060">
        <v>1059</v>
      </c>
      <c r="B1060" s="1">
        <v>45313</v>
      </c>
      <c r="C1060" s="1" t="str">
        <f>TEXT(RetailStore[[#This Row],[Date]],"mmm")</f>
        <v>Jan</v>
      </c>
      <c r="D1060">
        <v>2024</v>
      </c>
      <c r="E1060" t="s">
        <v>1073</v>
      </c>
      <c r="F1060" t="s">
        <v>11</v>
      </c>
      <c r="G1060">
        <v>51</v>
      </c>
      <c r="H1060" t="s">
        <v>12</v>
      </c>
      <c r="I1060">
        <v>4</v>
      </c>
      <c r="J1060">
        <v>401</v>
      </c>
      <c r="K1060">
        <v>1604</v>
      </c>
      <c r="L10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61" spans="1:12" x14ac:dyDescent="0.3">
      <c r="A1061">
        <v>1060</v>
      </c>
      <c r="B1061" s="1">
        <v>45312</v>
      </c>
      <c r="C1061" s="1" t="str">
        <f>TEXT(RetailStore[[#This Row],[Date]],"mmm")</f>
        <v>Jan</v>
      </c>
      <c r="D1061">
        <v>2024</v>
      </c>
      <c r="E1061" t="s">
        <v>1074</v>
      </c>
      <c r="F1061" t="s">
        <v>18</v>
      </c>
      <c r="G1061">
        <v>51</v>
      </c>
      <c r="H1061" t="s">
        <v>12</v>
      </c>
      <c r="I1061">
        <v>1</v>
      </c>
      <c r="J1061">
        <v>122</v>
      </c>
      <c r="K1061">
        <v>122</v>
      </c>
      <c r="L10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62" spans="1:12" x14ac:dyDescent="0.3">
      <c r="A1062">
        <v>1061</v>
      </c>
      <c r="B1062" s="1">
        <v>45441</v>
      </c>
      <c r="C1062" s="1" t="str">
        <f>TEXT(RetailStore[[#This Row],[Date]],"mmm")</f>
        <v>May</v>
      </c>
      <c r="D1062">
        <v>2024</v>
      </c>
      <c r="E1062" t="s">
        <v>1075</v>
      </c>
      <c r="F1062" t="s">
        <v>18</v>
      </c>
      <c r="G1062">
        <v>43</v>
      </c>
      <c r="H1062" t="s">
        <v>20</v>
      </c>
      <c r="I1062">
        <v>3</v>
      </c>
      <c r="J1062">
        <v>261</v>
      </c>
      <c r="K1062">
        <v>783</v>
      </c>
      <c r="L10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63" spans="1:12" x14ac:dyDescent="0.3">
      <c r="A1063">
        <v>1062</v>
      </c>
      <c r="B1063" s="1">
        <v>45377</v>
      </c>
      <c r="C1063" s="1" t="str">
        <f>TEXT(RetailStore[[#This Row],[Date]],"mmm")</f>
        <v>Mar</v>
      </c>
      <c r="D1063">
        <v>2024</v>
      </c>
      <c r="E1063" t="s">
        <v>1076</v>
      </c>
      <c r="F1063" t="s">
        <v>18</v>
      </c>
      <c r="G1063">
        <v>36</v>
      </c>
      <c r="H1063" t="s">
        <v>12</v>
      </c>
      <c r="I1063">
        <v>1</v>
      </c>
      <c r="J1063">
        <v>378</v>
      </c>
      <c r="K1063">
        <v>378</v>
      </c>
      <c r="L10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64" spans="1:12" x14ac:dyDescent="0.3">
      <c r="A1064">
        <v>1063</v>
      </c>
      <c r="B1064" s="1">
        <v>45556</v>
      </c>
      <c r="C1064" s="1" t="str">
        <f>TEXT(RetailStore[[#This Row],[Date]],"mmm")</f>
        <v>Sep</v>
      </c>
      <c r="D1064">
        <v>2024</v>
      </c>
      <c r="E1064" t="s">
        <v>1077</v>
      </c>
      <c r="F1064" t="s">
        <v>11</v>
      </c>
      <c r="G1064">
        <v>47</v>
      </c>
      <c r="H1064" t="s">
        <v>12</v>
      </c>
      <c r="I1064">
        <v>4</v>
      </c>
      <c r="J1064">
        <v>71</v>
      </c>
      <c r="K1064">
        <v>284</v>
      </c>
      <c r="L10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65" spans="1:12" x14ac:dyDescent="0.3">
      <c r="A1065">
        <v>1064</v>
      </c>
      <c r="B1065" s="1">
        <v>45548</v>
      </c>
      <c r="C1065" s="1" t="str">
        <f>TEXT(RetailStore[[#This Row],[Date]],"mmm")</f>
        <v>Sep</v>
      </c>
      <c r="D1065">
        <v>2024</v>
      </c>
      <c r="E1065" t="s">
        <v>1078</v>
      </c>
      <c r="F1065" t="s">
        <v>11</v>
      </c>
      <c r="G1065">
        <v>29</v>
      </c>
      <c r="H1065" t="s">
        <v>12</v>
      </c>
      <c r="I1065">
        <v>2</v>
      </c>
      <c r="J1065">
        <v>226</v>
      </c>
      <c r="K1065">
        <v>452</v>
      </c>
      <c r="L10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66" spans="1:12" x14ac:dyDescent="0.3">
      <c r="A1066">
        <v>1065</v>
      </c>
      <c r="B1066" s="1">
        <v>45503</v>
      </c>
      <c r="C1066" s="1" t="str">
        <f>TEXT(RetailStore[[#This Row],[Date]],"mmm")</f>
        <v>Jul</v>
      </c>
      <c r="D1066">
        <v>2024</v>
      </c>
      <c r="E1066" t="s">
        <v>1079</v>
      </c>
      <c r="F1066" t="s">
        <v>18</v>
      </c>
      <c r="G1066">
        <v>46</v>
      </c>
      <c r="H1066" t="s">
        <v>15</v>
      </c>
      <c r="I1066">
        <v>2</v>
      </c>
      <c r="J1066">
        <v>257</v>
      </c>
      <c r="K1066">
        <v>514</v>
      </c>
      <c r="L10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67" spans="1:12" x14ac:dyDescent="0.3">
      <c r="A1067">
        <v>1066</v>
      </c>
      <c r="B1067" s="1">
        <v>45594</v>
      </c>
      <c r="C1067" s="1" t="str">
        <f>TEXT(RetailStore[[#This Row],[Date]],"mmm")</f>
        <v>Oct</v>
      </c>
      <c r="D1067">
        <v>2024</v>
      </c>
      <c r="E1067" t="s">
        <v>1080</v>
      </c>
      <c r="F1067" t="s">
        <v>11</v>
      </c>
      <c r="G1067">
        <v>47</v>
      </c>
      <c r="H1067" t="s">
        <v>15</v>
      </c>
      <c r="I1067">
        <v>3</v>
      </c>
      <c r="J1067">
        <v>190</v>
      </c>
      <c r="K1067">
        <v>570</v>
      </c>
      <c r="L10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68" spans="1:12" x14ac:dyDescent="0.3">
      <c r="A1068">
        <v>1067</v>
      </c>
      <c r="B1068" s="1">
        <v>45646</v>
      </c>
      <c r="C1068" s="1" t="str">
        <f>TEXT(RetailStore[[#This Row],[Date]],"mmm")</f>
        <v>Dec</v>
      </c>
      <c r="D1068">
        <v>2024</v>
      </c>
      <c r="E1068" t="s">
        <v>1081</v>
      </c>
      <c r="F1068" t="s">
        <v>11</v>
      </c>
      <c r="G1068">
        <v>63</v>
      </c>
      <c r="H1068" t="s">
        <v>12</v>
      </c>
      <c r="I1068">
        <v>1</v>
      </c>
      <c r="J1068">
        <v>71</v>
      </c>
      <c r="K1068">
        <v>71</v>
      </c>
      <c r="L10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69" spans="1:12" x14ac:dyDescent="0.3">
      <c r="A1069">
        <v>1068</v>
      </c>
      <c r="B1069" s="1">
        <v>45350</v>
      </c>
      <c r="C1069" s="1" t="str">
        <f>TEXT(RetailStore[[#This Row],[Date]],"mmm")</f>
        <v>Feb</v>
      </c>
      <c r="D1069">
        <v>2024</v>
      </c>
      <c r="E1069" t="s">
        <v>1082</v>
      </c>
      <c r="F1069" t="s">
        <v>18</v>
      </c>
      <c r="G1069">
        <v>58</v>
      </c>
      <c r="H1069" t="s">
        <v>20</v>
      </c>
      <c r="I1069">
        <v>1</v>
      </c>
      <c r="J1069">
        <v>293</v>
      </c>
      <c r="K1069">
        <v>293</v>
      </c>
      <c r="L10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70" spans="1:12" x14ac:dyDescent="0.3">
      <c r="A1070">
        <v>1069</v>
      </c>
      <c r="B1070" s="1">
        <v>45654</v>
      </c>
      <c r="C1070" s="1" t="str">
        <f>TEXT(RetailStore[[#This Row],[Date]],"mmm")</f>
        <v>Dec</v>
      </c>
      <c r="D1070">
        <v>2024</v>
      </c>
      <c r="E1070" t="s">
        <v>1083</v>
      </c>
      <c r="F1070" t="s">
        <v>18</v>
      </c>
      <c r="G1070">
        <v>64</v>
      </c>
      <c r="H1070" t="s">
        <v>12</v>
      </c>
      <c r="I1070">
        <v>2</v>
      </c>
      <c r="J1070">
        <v>218</v>
      </c>
      <c r="K1070">
        <v>436</v>
      </c>
      <c r="L10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71" spans="1:12" x14ac:dyDescent="0.3">
      <c r="A1071">
        <v>1070</v>
      </c>
      <c r="B1071" s="1">
        <v>45573</v>
      </c>
      <c r="C1071" s="1" t="str">
        <f>TEXT(RetailStore[[#This Row],[Date]],"mmm")</f>
        <v>Oct</v>
      </c>
      <c r="D1071">
        <v>2024</v>
      </c>
      <c r="E1071" t="s">
        <v>1084</v>
      </c>
      <c r="F1071" t="s">
        <v>18</v>
      </c>
      <c r="G1071">
        <v>20</v>
      </c>
      <c r="H1071" t="s">
        <v>15</v>
      </c>
      <c r="I1071">
        <v>3</v>
      </c>
      <c r="J1071">
        <v>314</v>
      </c>
      <c r="K1071">
        <v>942</v>
      </c>
      <c r="L10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72" spans="1:12" x14ac:dyDescent="0.3">
      <c r="A1072">
        <v>1071</v>
      </c>
      <c r="B1072" s="1">
        <v>45629</v>
      </c>
      <c r="C1072" s="1" t="str">
        <f>TEXT(RetailStore[[#This Row],[Date]],"mmm")</f>
        <v>Dec</v>
      </c>
      <c r="D1072">
        <v>2024</v>
      </c>
      <c r="E1072" t="s">
        <v>1085</v>
      </c>
      <c r="F1072" t="s">
        <v>11</v>
      </c>
      <c r="G1072">
        <v>28</v>
      </c>
      <c r="H1072" t="s">
        <v>15</v>
      </c>
      <c r="I1072">
        <v>2</v>
      </c>
      <c r="J1072">
        <v>418</v>
      </c>
      <c r="K1072">
        <v>836</v>
      </c>
      <c r="L10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73" spans="1:12" x14ac:dyDescent="0.3">
      <c r="A1073">
        <v>1072</v>
      </c>
      <c r="B1073" s="1">
        <v>45656</v>
      </c>
      <c r="C1073" s="1" t="str">
        <f>TEXT(RetailStore[[#This Row],[Date]],"mmm")</f>
        <v>Dec</v>
      </c>
      <c r="D1073">
        <v>2024</v>
      </c>
      <c r="E1073" t="s">
        <v>1086</v>
      </c>
      <c r="F1073" t="s">
        <v>11</v>
      </c>
      <c r="G1073">
        <v>44</v>
      </c>
      <c r="H1073" t="s">
        <v>20</v>
      </c>
      <c r="I1073">
        <v>3</v>
      </c>
      <c r="J1073">
        <v>398</v>
      </c>
      <c r="K1073">
        <v>1194</v>
      </c>
      <c r="L10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74" spans="1:12" x14ac:dyDescent="0.3">
      <c r="A1074">
        <v>1073</v>
      </c>
      <c r="B1074" s="1">
        <v>45520</v>
      </c>
      <c r="C1074" s="1" t="str">
        <f>TEXT(RetailStore[[#This Row],[Date]],"mmm")</f>
        <v>Aug</v>
      </c>
      <c r="D1074">
        <v>2024</v>
      </c>
      <c r="E1074" t="s">
        <v>1087</v>
      </c>
      <c r="F1074" t="s">
        <v>18</v>
      </c>
      <c r="G1074">
        <v>58</v>
      </c>
      <c r="H1074" t="s">
        <v>15</v>
      </c>
      <c r="I1074">
        <v>1</v>
      </c>
      <c r="J1074">
        <v>485</v>
      </c>
      <c r="K1074">
        <v>485</v>
      </c>
      <c r="L10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75" spans="1:12" x14ac:dyDescent="0.3">
      <c r="A1075">
        <v>1074</v>
      </c>
      <c r="B1075" s="1">
        <v>45359</v>
      </c>
      <c r="C1075" s="1" t="str">
        <f>TEXT(RetailStore[[#This Row],[Date]],"mmm")</f>
        <v>Mar</v>
      </c>
      <c r="D1075">
        <v>2024</v>
      </c>
      <c r="E1075" t="s">
        <v>1088</v>
      </c>
      <c r="F1075" t="s">
        <v>11</v>
      </c>
      <c r="G1075">
        <v>18</v>
      </c>
      <c r="H1075" t="s">
        <v>12</v>
      </c>
      <c r="I1075">
        <v>3</v>
      </c>
      <c r="J1075">
        <v>31</v>
      </c>
      <c r="K1075">
        <v>93</v>
      </c>
      <c r="L10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76" spans="1:12" x14ac:dyDescent="0.3">
      <c r="A1076">
        <v>1075</v>
      </c>
      <c r="B1076" s="1">
        <v>45526</v>
      </c>
      <c r="C1076" s="1" t="str">
        <f>TEXT(RetailStore[[#This Row],[Date]],"mmm")</f>
        <v>Aug</v>
      </c>
      <c r="D1076">
        <v>2024</v>
      </c>
      <c r="E1076" t="s">
        <v>1089</v>
      </c>
      <c r="F1076" t="s">
        <v>18</v>
      </c>
      <c r="G1076">
        <v>49</v>
      </c>
      <c r="H1076" t="s">
        <v>12</v>
      </c>
      <c r="I1076">
        <v>1</v>
      </c>
      <c r="J1076">
        <v>336</v>
      </c>
      <c r="K1076">
        <v>336</v>
      </c>
      <c r="L10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77" spans="1:12" x14ac:dyDescent="0.3">
      <c r="A1077">
        <v>1076</v>
      </c>
      <c r="B1077" s="1">
        <v>45544</v>
      </c>
      <c r="C1077" s="1" t="str">
        <f>TEXT(RetailStore[[#This Row],[Date]],"mmm")</f>
        <v>Sep</v>
      </c>
      <c r="D1077">
        <v>2024</v>
      </c>
      <c r="E1077" t="s">
        <v>1090</v>
      </c>
      <c r="F1077" t="s">
        <v>11</v>
      </c>
      <c r="G1077">
        <v>31</v>
      </c>
      <c r="H1077" t="s">
        <v>12</v>
      </c>
      <c r="I1077">
        <v>4</v>
      </c>
      <c r="J1077">
        <v>257</v>
      </c>
      <c r="K1077">
        <v>1028</v>
      </c>
      <c r="L10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78" spans="1:12" x14ac:dyDescent="0.3">
      <c r="A1078">
        <v>1077</v>
      </c>
      <c r="B1078" s="1">
        <v>45501</v>
      </c>
      <c r="C1078" s="1" t="str">
        <f>TEXT(RetailStore[[#This Row],[Date]],"mmm")</f>
        <v>Jul</v>
      </c>
      <c r="D1078">
        <v>2024</v>
      </c>
      <c r="E1078" t="s">
        <v>1091</v>
      </c>
      <c r="F1078" t="s">
        <v>18</v>
      </c>
      <c r="G1078">
        <v>23</v>
      </c>
      <c r="H1078" t="s">
        <v>12</v>
      </c>
      <c r="I1078">
        <v>1</v>
      </c>
      <c r="J1078">
        <v>150</v>
      </c>
      <c r="K1078">
        <v>150</v>
      </c>
      <c r="L10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79" spans="1:12" x14ac:dyDescent="0.3">
      <c r="A1079">
        <v>1078</v>
      </c>
      <c r="B1079" s="1">
        <v>45572</v>
      </c>
      <c r="C1079" s="1" t="str">
        <f>TEXT(RetailStore[[#This Row],[Date]],"mmm")</f>
        <v>Oct</v>
      </c>
      <c r="D1079">
        <v>2024</v>
      </c>
      <c r="E1079" t="s">
        <v>1092</v>
      </c>
      <c r="F1079" t="s">
        <v>18</v>
      </c>
      <c r="G1079">
        <v>57</v>
      </c>
      <c r="H1079" t="s">
        <v>12</v>
      </c>
      <c r="I1079">
        <v>2</v>
      </c>
      <c r="J1079">
        <v>50</v>
      </c>
      <c r="K1079">
        <v>100</v>
      </c>
      <c r="L10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80" spans="1:12" x14ac:dyDescent="0.3">
      <c r="A1080">
        <v>1079</v>
      </c>
      <c r="B1080" s="1">
        <v>45386</v>
      </c>
      <c r="C1080" s="1" t="str">
        <f>TEXT(RetailStore[[#This Row],[Date]],"mmm")</f>
        <v>Apr</v>
      </c>
      <c r="D1080">
        <v>2024</v>
      </c>
      <c r="E1080" t="s">
        <v>1093</v>
      </c>
      <c r="F1080" t="s">
        <v>11</v>
      </c>
      <c r="G1080">
        <v>21</v>
      </c>
      <c r="H1080" t="s">
        <v>12</v>
      </c>
      <c r="I1080">
        <v>3</v>
      </c>
      <c r="J1080">
        <v>43</v>
      </c>
      <c r="K1080">
        <v>129</v>
      </c>
      <c r="L10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81" spans="1:12" x14ac:dyDescent="0.3">
      <c r="A1081">
        <v>1080</v>
      </c>
      <c r="B1081" s="1">
        <v>45366</v>
      </c>
      <c r="C1081" s="1" t="str">
        <f>TEXT(RetailStore[[#This Row],[Date]],"mmm")</f>
        <v>Mar</v>
      </c>
      <c r="D1081">
        <v>2024</v>
      </c>
      <c r="E1081" t="s">
        <v>1094</v>
      </c>
      <c r="F1081" t="s">
        <v>11</v>
      </c>
      <c r="G1081">
        <v>60</v>
      </c>
      <c r="H1081" t="s">
        <v>12</v>
      </c>
      <c r="I1081">
        <v>3</v>
      </c>
      <c r="J1081">
        <v>194</v>
      </c>
      <c r="K1081">
        <v>582</v>
      </c>
      <c r="L10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82" spans="1:12" x14ac:dyDescent="0.3">
      <c r="A1082">
        <v>1081</v>
      </c>
      <c r="B1082" s="1">
        <v>45336</v>
      </c>
      <c r="C1082" s="1" t="str">
        <f>TEXT(RetailStore[[#This Row],[Date]],"mmm")</f>
        <v>Feb</v>
      </c>
      <c r="D1082">
        <v>2024</v>
      </c>
      <c r="E1082" t="s">
        <v>1095</v>
      </c>
      <c r="F1082" t="s">
        <v>11</v>
      </c>
      <c r="G1082">
        <v>24</v>
      </c>
      <c r="H1082" t="s">
        <v>20</v>
      </c>
      <c r="I1082">
        <v>2</v>
      </c>
      <c r="J1082">
        <v>107</v>
      </c>
      <c r="K1082">
        <v>214</v>
      </c>
      <c r="L10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83" spans="1:12" x14ac:dyDescent="0.3">
      <c r="A1083">
        <v>1082</v>
      </c>
      <c r="B1083" s="1">
        <v>45636</v>
      </c>
      <c r="C1083" s="1" t="str">
        <f>TEXT(RetailStore[[#This Row],[Date]],"mmm")</f>
        <v>Dec</v>
      </c>
      <c r="D1083">
        <v>2024</v>
      </c>
      <c r="E1083" t="s">
        <v>1096</v>
      </c>
      <c r="F1083" t="s">
        <v>18</v>
      </c>
      <c r="G1083">
        <v>57</v>
      </c>
      <c r="H1083" t="s">
        <v>12</v>
      </c>
      <c r="I1083">
        <v>2</v>
      </c>
      <c r="J1083">
        <v>258</v>
      </c>
      <c r="K1083">
        <v>516</v>
      </c>
      <c r="L10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84" spans="1:12" x14ac:dyDescent="0.3">
      <c r="A1084">
        <v>1083</v>
      </c>
      <c r="B1084" s="1">
        <v>45588</v>
      </c>
      <c r="C1084" s="1" t="str">
        <f>TEXT(RetailStore[[#This Row],[Date]],"mmm")</f>
        <v>Oct</v>
      </c>
      <c r="D1084">
        <v>2024</v>
      </c>
      <c r="E1084" t="s">
        <v>1097</v>
      </c>
      <c r="F1084" t="s">
        <v>18</v>
      </c>
      <c r="G1084">
        <v>20</v>
      </c>
      <c r="H1084" t="s">
        <v>15</v>
      </c>
      <c r="I1084">
        <v>3</v>
      </c>
      <c r="J1084">
        <v>190</v>
      </c>
      <c r="K1084">
        <v>570</v>
      </c>
      <c r="L10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85" spans="1:12" x14ac:dyDescent="0.3">
      <c r="A1085">
        <v>1084</v>
      </c>
      <c r="B1085" s="1">
        <v>45480</v>
      </c>
      <c r="C1085" s="1" t="str">
        <f>TEXT(RetailStore[[#This Row],[Date]],"mmm")</f>
        <v>Jul</v>
      </c>
      <c r="D1085">
        <v>2024</v>
      </c>
      <c r="E1085" t="s">
        <v>1098</v>
      </c>
      <c r="F1085" t="s">
        <v>18</v>
      </c>
      <c r="G1085">
        <v>22</v>
      </c>
      <c r="H1085" t="s">
        <v>20</v>
      </c>
      <c r="I1085">
        <v>1</v>
      </c>
      <c r="J1085">
        <v>174</v>
      </c>
      <c r="K1085">
        <v>174</v>
      </c>
      <c r="L10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86" spans="1:12" x14ac:dyDescent="0.3">
      <c r="A1086">
        <v>1085</v>
      </c>
      <c r="B1086" s="1">
        <v>45533</v>
      </c>
      <c r="C1086" s="1" t="str">
        <f>TEXT(RetailStore[[#This Row],[Date]],"mmm")</f>
        <v>Aug</v>
      </c>
      <c r="D1086">
        <v>2024</v>
      </c>
      <c r="E1086" t="s">
        <v>1099</v>
      </c>
      <c r="F1086" t="s">
        <v>11</v>
      </c>
      <c r="G1086">
        <v>25</v>
      </c>
      <c r="H1086" t="s">
        <v>12</v>
      </c>
      <c r="I1086">
        <v>3</v>
      </c>
      <c r="J1086">
        <v>193</v>
      </c>
      <c r="K1086">
        <v>579</v>
      </c>
      <c r="L10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87" spans="1:12" x14ac:dyDescent="0.3">
      <c r="A1087">
        <v>1086</v>
      </c>
      <c r="B1087" s="1">
        <v>45561</v>
      </c>
      <c r="C1087" s="1" t="str">
        <f>TEXT(RetailStore[[#This Row],[Date]],"mmm")</f>
        <v>Sep</v>
      </c>
      <c r="D1087">
        <v>2024</v>
      </c>
      <c r="E1087" t="s">
        <v>1100</v>
      </c>
      <c r="F1087" t="s">
        <v>18</v>
      </c>
      <c r="G1087">
        <v>51</v>
      </c>
      <c r="H1087" t="s">
        <v>15</v>
      </c>
      <c r="I1087">
        <v>2</v>
      </c>
      <c r="J1087">
        <v>338</v>
      </c>
      <c r="K1087">
        <v>676</v>
      </c>
      <c r="L10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88" spans="1:12" x14ac:dyDescent="0.3">
      <c r="A1088">
        <v>1087</v>
      </c>
      <c r="B1088" s="1">
        <v>45321</v>
      </c>
      <c r="C1088" s="1" t="str">
        <f>TEXT(RetailStore[[#This Row],[Date]],"mmm")</f>
        <v>Jan</v>
      </c>
      <c r="D1088">
        <v>2024</v>
      </c>
      <c r="E1088" t="s">
        <v>1101</v>
      </c>
      <c r="F1088" t="s">
        <v>11</v>
      </c>
      <c r="G1088">
        <v>54</v>
      </c>
      <c r="H1088" t="s">
        <v>12</v>
      </c>
      <c r="I1088">
        <v>1</v>
      </c>
      <c r="J1088">
        <v>272</v>
      </c>
      <c r="K1088">
        <v>272</v>
      </c>
      <c r="L10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89" spans="1:12" x14ac:dyDescent="0.3">
      <c r="A1089">
        <v>1088</v>
      </c>
      <c r="B1089" s="1">
        <v>45644</v>
      </c>
      <c r="C1089" s="1" t="str">
        <f>TEXT(RetailStore[[#This Row],[Date]],"mmm")</f>
        <v>Dec</v>
      </c>
      <c r="D1089">
        <v>2024</v>
      </c>
      <c r="E1089" t="s">
        <v>1102</v>
      </c>
      <c r="F1089" t="s">
        <v>18</v>
      </c>
      <c r="G1089">
        <v>45</v>
      </c>
      <c r="H1089" t="s">
        <v>12</v>
      </c>
      <c r="I1089">
        <v>3</v>
      </c>
      <c r="J1089">
        <v>157</v>
      </c>
      <c r="K1089">
        <v>471</v>
      </c>
      <c r="L10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0" spans="1:12" x14ac:dyDescent="0.3">
      <c r="A1090">
        <v>1089</v>
      </c>
      <c r="B1090" s="1">
        <v>45561</v>
      </c>
      <c r="C1090" s="1" t="str">
        <f>TEXT(RetailStore[[#This Row],[Date]],"mmm")</f>
        <v>Sep</v>
      </c>
      <c r="D1090">
        <v>2024</v>
      </c>
      <c r="E1090" t="s">
        <v>1103</v>
      </c>
      <c r="F1090" t="s">
        <v>18</v>
      </c>
      <c r="G1090">
        <v>26</v>
      </c>
      <c r="H1090" t="s">
        <v>12</v>
      </c>
      <c r="I1090">
        <v>4</v>
      </c>
      <c r="J1090">
        <v>291</v>
      </c>
      <c r="K1090">
        <v>1164</v>
      </c>
      <c r="L10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91" spans="1:12" x14ac:dyDescent="0.3">
      <c r="A1091">
        <v>1090</v>
      </c>
      <c r="B1091" s="1">
        <v>45615</v>
      </c>
      <c r="C1091" s="1" t="str">
        <f>TEXT(RetailStore[[#This Row],[Date]],"mmm")</f>
        <v>Nov</v>
      </c>
      <c r="D1091">
        <v>2024</v>
      </c>
      <c r="E1091" t="s">
        <v>1104</v>
      </c>
      <c r="F1091" t="s">
        <v>18</v>
      </c>
      <c r="G1091">
        <v>49</v>
      </c>
      <c r="H1091" t="s">
        <v>15</v>
      </c>
      <c r="I1091">
        <v>2</v>
      </c>
      <c r="J1091">
        <v>387</v>
      </c>
      <c r="K1091">
        <v>774</v>
      </c>
      <c r="L10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2" spans="1:12" x14ac:dyDescent="0.3">
      <c r="A1092">
        <v>1091</v>
      </c>
      <c r="B1092" s="1">
        <v>45440</v>
      </c>
      <c r="C1092" s="1" t="str">
        <f>TEXT(RetailStore[[#This Row],[Date]],"mmm")</f>
        <v>May</v>
      </c>
      <c r="D1092">
        <v>2024</v>
      </c>
      <c r="E1092" t="s">
        <v>1105</v>
      </c>
      <c r="F1092" t="s">
        <v>11</v>
      </c>
      <c r="G1092">
        <v>18</v>
      </c>
      <c r="H1092" t="s">
        <v>15</v>
      </c>
      <c r="I1092">
        <v>1</v>
      </c>
      <c r="J1092">
        <v>263</v>
      </c>
      <c r="K1092">
        <v>263</v>
      </c>
      <c r="L10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093" spans="1:12" x14ac:dyDescent="0.3">
      <c r="A1093">
        <v>1092</v>
      </c>
      <c r="B1093" s="1">
        <v>45612</v>
      </c>
      <c r="C1093" s="1" t="str">
        <f>TEXT(RetailStore[[#This Row],[Date]],"mmm")</f>
        <v>Nov</v>
      </c>
      <c r="D1093">
        <v>2024</v>
      </c>
      <c r="E1093" t="s">
        <v>1106</v>
      </c>
      <c r="F1093" t="s">
        <v>11</v>
      </c>
      <c r="G1093">
        <v>31</v>
      </c>
      <c r="H1093" t="s">
        <v>12</v>
      </c>
      <c r="I1093">
        <v>4</v>
      </c>
      <c r="J1093">
        <v>236</v>
      </c>
      <c r="K1093">
        <v>944</v>
      </c>
      <c r="L10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4" spans="1:12" x14ac:dyDescent="0.3">
      <c r="A1094">
        <v>1093</v>
      </c>
      <c r="B1094" s="1">
        <v>45315</v>
      </c>
      <c r="C1094" s="1" t="str">
        <f>TEXT(RetailStore[[#This Row],[Date]],"mmm")</f>
        <v>Jan</v>
      </c>
      <c r="D1094">
        <v>2024</v>
      </c>
      <c r="E1094" t="s">
        <v>1107</v>
      </c>
      <c r="F1094" t="s">
        <v>18</v>
      </c>
      <c r="G1094">
        <v>40</v>
      </c>
      <c r="H1094" t="s">
        <v>12</v>
      </c>
      <c r="I1094">
        <v>2</v>
      </c>
      <c r="J1094">
        <v>30</v>
      </c>
      <c r="K1094">
        <v>60</v>
      </c>
      <c r="L10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5" spans="1:12" x14ac:dyDescent="0.3">
      <c r="A1095">
        <v>1094</v>
      </c>
      <c r="B1095" s="1">
        <v>45619</v>
      </c>
      <c r="C1095" s="1" t="str">
        <f>TEXT(RetailStore[[#This Row],[Date]],"mmm")</f>
        <v>Nov</v>
      </c>
      <c r="D1095">
        <v>2024</v>
      </c>
      <c r="E1095" t="s">
        <v>1108</v>
      </c>
      <c r="F1095" t="s">
        <v>11</v>
      </c>
      <c r="G1095">
        <v>62</v>
      </c>
      <c r="H1095" t="s">
        <v>20</v>
      </c>
      <c r="I1095">
        <v>3</v>
      </c>
      <c r="J1095">
        <v>429</v>
      </c>
      <c r="K1095">
        <v>1287</v>
      </c>
      <c r="L10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6" spans="1:12" x14ac:dyDescent="0.3">
      <c r="A1096">
        <v>1095</v>
      </c>
      <c r="B1096" s="1">
        <v>45326</v>
      </c>
      <c r="C1096" s="1" t="str">
        <f>TEXT(RetailStore[[#This Row],[Date]],"mmm")</f>
        <v>Feb</v>
      </c>
      <c r="D1096">
        <v>2024</v>
      </c>
      <c r="E1096" t="s">
        <v>1109</v>
      </c>
      <c r="F1096" t="s">
        <v>18</v>
      </c>
      <c r="G1096">
        <v>37</v>
      </c>
      <c r="H1096" t="s">
        <v>12</v>
      </c>
      <c r="I1096">
        <v>3</v>
      </c>
      <c r="J1096">
        <v>417</v>
      </c>
      <c r="K1096">
        <v>1251</v>
      </c>
      <c r="L10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7" spans="1:12" x14ac:dyDescent="0.3">
      <c r="A1097">
        <v>1096</v>
      </c>
      <c r="B1097" s="1">
        <v>45295</v>
      </c>
      <c r="C1097" s="1" t="str">
        <f>TEXT(RetailStore[[#This Row],[Date]],"mmm")</f>
        <v>Jan</v>
      </c>
      <c r="D1097">
        <v>2024</v>
      </c>
      <c r="E1097" t="s">
        <v>1110</v>
      </c>
      <c r="F1097" t="s">
        <v>11</v>
      </c>
      <c r="G1097">
        <v>61</v>
      </c>
      <c r="H1097" t="s">
        <v>20</v>
      </c>
      <c r="I1097">
        <v>3</v>
      </c>
      <c r="J1097">
        <v>227</v>
      </c>
      <c r="K1097">
        <v>681</v>
      </c>
      <c r="L10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098" spans="1:12" x14ac:dyDescent="0.3">
      <c r="A1098">
        <v>1097</v>
      </c>
      <c r="B1098" s="1">
        <v>45583</v>
      </c>
      <c r="C1098" s="1" t="str">
        <f>TEXT(RetailStore[[#This Row],[Date]],"mmm")</f>
        <v>Oct</v>
      </c>
      <c r="D1098">
        <v>2024</v>
      </c>
      <c r="E1098" t="s">
        <v>1111</v>
      </c>
      <c r="F1098" t="s">
        <v>11</v>
      </c>
      <c r="G1098">
        <v>29</v>
      </c>
      <c r="H1098" t="s">
        <v>15</v>
      </c>
      <c r="I1098">
        <v>3</v>
      </c>
      <c r="J1098">
        <v>451</v>
      </c>
      <c r="K1098">
        <v>1353</v>
      </c>
      <c r="L10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099" spans="1:12" x14ac:dyDescent="0.3">
      <c r="A1099">
        <v>1098</v>
      </c>
      <c r="B1099" s="1">
        <v>45465</v>
      </c>
      <c r="C1099" s="1" t="str">
        <f>TEXT(RetailStore[[#This Row],[Date]],"mmm")</f>
        <v>Jun</v>
      </c>
      <c r="D1099">
        <v>2024</v>
      </c>
      <c r="E1099" t="s">
        <v>1112</v>
      </c>
      <c r="F1099" t="s">
        <v>18</v>
      </c>
      <c r="G1099">
        <v>48</v>
      </c>
      <c r="H1099" t="s">
        <v>15</v>
      </c>
      <c r="I1099">
        <v>2</v>
      </c>
      <c r="J1099">
        <v>271</v>
      </c>
      <c r="K1099">
        <v>542</v>
      </c>
      <c r="L10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00" spans="1:12" x14ac:dyDescent="0.3">
      <c r="A1100">
        <v>1099</v>
      </c>
      <c r="B1100" s="1">
        <v>45371</v>
      </c>
      <c r="C1100" s="1" t="str">
        <f>TEXT(RetailStore[[#This Row],[Date]],"mmm")</f>
        <v>Mar</v>
      </c>
      <c r="D1100">
        <v>2024</v>
      </c>
      <c r="E1100" t="s">
        <v>1113</v>
      </c>
      <c r="F1100" t="s">
        <v>18</v>
      </c>
      <c r="G1100">
        <v>52</v>
      </c>
      <c r="H1100" t="s">
        <v>20</v>
      </c>
      <c r="I1100">
        <v>4</v>
      </c>
      <c r="J1100">
        <v>426</v>
      </c>
      <c r="K1100">
        <v>1704</v>
      </c>
      <c r="L11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01" spans="1:12" x14ac:dyDescent="0.3">
      <c r="A1101">
        <v>1100</v>
      </c>
      <c r="B1101" s="1">
        <v>45503</v>
      </c>
      <c r="C1101" s="1" t="str">
        <f>TEXT(RetailStore[[#This Row],[Date]],"mmm")</f>
        <v>Jul</v>
      </c>
      <c r="D1101">
        <v>2024</v>
      </c>
      <c r="E1101" t="s">
        <v>1114</v>
      </c>
      <c r="F1101" t="s">
        <v>11</v>
      </c>
      <c r="G1101">
        <v>51</v>
      </c>
      <c r="H1101" t="s">
        <v>20</v>
      </c>
      <c r="I1101">
        <v>3</v>
      </c>
      <c r="J1101">
        <v>309</v>
      </c>
      <c r="K1101">
        <v>927</v>
      </c>
      <c r="L11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02" spans="1:12" x14ac:dyDescent="0.3">
      <c r="A1102">
        <v>1101</v>
      </c>
      <c r="B1102" s="1">
        <v>45566</v>
      </c>
      <c r="C1102" s="1" t="str">
        <f>TEXT(RetailStore[[#This Row],[Date]],"mmm")</f>
        <v>Oct</v>
      </c>
      <c r="D1102">
        <v>2024</v>
      </c>
      <c r="E1102" t="s">
        <v>1115</v>
      </c>
      <c r="F1102" t="s">
        <v>11</v>
      </c>
      <c r="G1102">
        <v>31</v>
      </c>
      <c r="H1102" t="s">
        <v>12</v>
      </c>
      <c r="I1102">
        <v>3</v>
      </c>
      <c r="J1102">
        <v>434</v>
      </c>
      <c r="K1102">
        <v>1302</v>
      </c>
      <c r="L11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03" spans="1:12" x14ac:dyDescent="0.3">
      <c r="A1103">
        <v>1102</v>
      </c>
      <c r="B1103" s="1">
        <v>45473</v>
      </c>
      <c r="C1103" s="1" t="str">
        <f>TEXT(RetailStore[[#This Row],[Date]],"mmm")</f>
        <v>Jun</v>
      </c>
      <c r="D1103">
        <v>2024</v>
      </c>
      <c r="E1103" t="s">
        <v>1116</v>
      </c>
      <c r="F1103" t="s">
        <v>11</v>
      </c>
      <c r="G1103">
        <v>27</v>
      </c>
      <c r="H1103" t="s">
        <v>20</v>
      </c>
      <c r="I1103">
        <v>1</v>
      </c>
      <c r="J1103">
        <v>198</v>
      </c>
      <c r="K1103">
        <v>198</v>
      </c>
      <c r="L11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04" spans="1:12" x14ac:dyDescent="0.3">
      <c r="A1104">
        <v>1103</v>
      </c>
      <c r="B1104" s="1">
        <v>45484</v>
      </c>
      <c r="C1104" s="1" t="str">
        <f>TEXT(RetailStore[[#This Row],[Date]],"mmm")</f>
        <v>Jul</v>
      </c>
      <c r="D1104">
        <v>2024</v>
      </c>
      <c r="E1104" t="s">
        <v>1117</v>
      </c>
      <c r="F1104" t="s">
        <v>11</v>
      </c>
      <c r="G1104">
        <v>54</v>
      </c>
      <c r="H1104" t="s">
        <v>12</v>
      </c>
      <c r="I1104">
        <v>4</v>
      </c>
      <c r="J1104">
        <v>120</v>
      </c>
      <c r="K1104">
        <v>480</v>
      </c>
      <c r="L11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05" spans="1:12" x14ac:dyDescent="0.3">
      <c r="A1105">
        <v>1104</v>
      </c>
      <c r="B1105" s="1">
        <v>45596</v>
      </c>
      <c r="C1105" s="1" t="str">
        <f>TEXT(RetailStore[[#This Row],[Date]],"mmm")</f>
        <v>Oct</v>
      </c>
      <c r="D1105">
        <v>2024</v>
      </c>
      <c r="E1105" t="s">
        <v>1118</v>
      </c>
      <c r="F1105" t="s">
        <v>11</v>
      </c>
      <c r="G1105">
        <v>37</v>
      </c>
      <c r="H1105" t="s">
        <v>12</v>
      </c>
      <c r="I1105">
        <v>3</v>
      </c>
      <c r="J1105">
        <v>388</v>
      </c>
      <c r="K1105">
        <v>1164</v>
      </c>
      <c r="L11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06" spans="1:12" x14ac:dyDescent="0.3">
      <c r="A1106">
        <v>1105</v>
      </c>
      <c r="B1106" s="1">
        <v>45308</v>
      </c>
      <c r="C1106" s="1" t="str">
        <f>TEXT(RetailStore[[#This Row],[Date]],"mmm")</f>
        <v>Jan</v>
      </c>
      <c r="D1106">
        <v>2024</v>
      </c>
      <c r="E1106" t="s">
        <v>1119</v>
      </c>
      <c r="F1106" t="s">
        <v>18</v>
      </c>
      <c r="G1106">
        <v>44</v>
      </c>
      <c r="H1106" t="s">
        <v>15</v>
      </c>
      <c r="I1106">
        <v>4</v>
      </c>
      <c r="J1106">
        <v>474</v>
      </c>
      <c r="K1106">
        <v>1896</v>
      </c>
      <c r="L11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07" spans="1:12" x14ac:dyDescent="0.3">
      <c r="A1107">
        <v>1106</v>
      </c>
      <c r="B1107" s="1">
        <v>45413</v>
      </c>
      <c r="C1107" s="1" t="str">
        <f>TEXT(RetailStore[[#This Row],[Date]],"mmm")</f>
        <v>May</v>
      </c>
      <c r="D1107">
        <v>2024</v>
      </c>
      <c r="E1107" t="s">
        <v>1120</v>
      </c>
      <c r="F1107" t="s">
        <v>18</v>
      </c>
      <c r="G1107">
        <v>46</v>
      </c>
      <c r="H1107" t="s">
        <v>20</v>
      </c>
      <c r="I1107">
        <v>2</v>
      </c>
      <c r="J1107">
        <v>293</v>
      </c>
      <c r="K1107">
        <v>586</v>
      </c>
      <c r="L11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08" spans="1:12" x14ac:dyDescent="0.3">
      <c r="A1108">
        <v>1107</v>
      </c>
      <c r="B1108" s="1">
        <v>45446</v>
      </c>
      <c r="C1108" s="1" t="str">
        <f>TEXT(RetailStore[[#This Row],[Date]],"mmm")</f>
        <v>Jun</v>
      </c>
      <c r="D1108">
        <v>2024</v>
      </c>
      <c r="E1108" t="s">
        <v>1121</v>
      </c>
      <c r="F1108" t="s">
        <v>11</v>
      </c>
      <c r="G1108">
        <v>25</v>
      </c>
      <c r="H1108" t="s">
        <v>20</v>
      </c>
      <c r="I1108">
        <v>1</v>
      </c>
      <c r="J1108">
        <v>423</v>
      </c>
      <c r="K1108">
        <v>423</v>
      </c>
      <c r="L11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09" spans="1:12" x14ac:dyDescent="0.3">
      <c r="A1109">
        <v>1108</v>
      </c>
      <c r="B1109" s="1">
        <v>45395</v>
      </c>
      <c r="C1109" s="1" t="str">
        <f>TEXT(RetailStore[[#This Row],[Date]],"mmm")</f>
        <v>Apr</v>
      </c>
      <c r="D1109">
        <v>2024</v>
      </c>
      <c r="E1109" t="s">
        <v>1122</v>
      </c>
      <c r="F1109" t="s">
        <v>11</v>
      </c>
      <c r="G1109">
        <v>46</v>
      </c>
      <c r="H1109" t="s">
        <v>12</v>
      </c>
      <c r="I1109">
        <v>1</v>
      </c>
      <c r="J1109">
        <v>434</v>
      </c>
      <c r="K1109">
        <v>434</v>
      </c>
      <c r="L11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10" spans="1:12" x14ac:dyDescent="0.3">
      <c r="A1110">
        <v>1109</v>
      </c>
      <c r="B1110" s="1">
        <v>45539</v>
      </c>
      <c r="C1110" s="1" t="str">
        <f>TEXT(RetailStore[[#This Row],[Date]],"mmm")</f>
        <v>Sep</v>
      </c>
      <c r="D1110">
        <v>2024</v>
      </c>
      <c r="E1110" t="s">
        <v>1123</v>
      </c>
      <c r="F1110" t="s">
        <v>11</v>
      </c>
      <c r="G1110">
        <v>30</v>
      </c>
      <c r="H1110" t="s">
        <v>20</v>
      </c>
      <c r="I1110">
        <v>4</v>
      </c>
      <c r="J1110">
        <v>400</v>
      </c>
      <c r="K1110">
        <v>1600</v>
      </c>
      <c r="L11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1" spans="1:12" x14ac:dyDescent="0.3">
      <c r="A1111">
        <v>1110</v>
      </c>
      <c r="B1111" s="1">
        <v>45560</v>
      </c>
      <c r="C1111" s="1" t="str">
        <f>TEXT(RetailStore[[#This Row],[Date]],"mmm")</f>
        <v>Sep</v>
      </c>
      <c r="D1111">
        <v>2024</v>
      </c>
      <c r="E1111" t="s">
        <v>1124</v>
      </c>
      <c r="F1111" t="s">
        <v>18</v>
      </c>
      <c r="G1111">
        <v>38</v>
      </c>
      <c r="H1111" t="s">
        <v>15</v>
      </c>
      <c r="I1111">
        <v>1</v>
      </c>
      <c r="J1111">
        <v>445</v>
      </c>
      <c r="K1111">
        <v>445</v>
      </c>
      <c r="L11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2" spans="1:12" x14ac:dyDescent="0.3">
      <c r="A1112">
        <v>1111</v>
      </c>
      <c r="B1112" s="1">
        <v>45556</v>
      </c>
      <c r="C1112" s="1" t="str">
        <f>TEXT(RetailStore[[#This Row],[Date]],"mmm")</f>
        <v>Sep</v>
      </c>
      <c r="D1112">
        <v>2024</v>
      </c>
      <c r="E1112" t="s">
        <v>1125</v>
      </c>
      <c r="F1112" t="s">
        <v>11</v>
      </c>
      <c r="G1112">
        <v>31</v>
      </c>
      <c r="H1112" t="s">
        <v>12</v>
      </c>
      <c r="I1112">
        <v>1</v>
      </c>
      <c r="J1112">
        <v>260</v>
      </c>
      <c r="K1112">
        <v>260</v>
      </c>
      <c r="L11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3" spans="1:12" x14ac:dyDescent="0.3">
      <c r="A1113">
        <v>1112</v>
      </c>
      <c r="B1113" s="1">
        <v>45490</v>
      </c>
      <c r="C1113" s="1" t="str">
        <f>TEXT(RetailStore[[#This Row],[Date]],"mmm")</f>
        <v>Jul</v>
      </c>
      <c r="D1113">
        <v>2024</v>
      </c>
      <c r="E1113" t="s">
        <v>1126</v>
      </c>
      <c r="F1113" t="s">
        <v>11</v>
      </c>
      <c r="G1113">
        <v>18</v>
      </c>
      <c r="H1113" t="s">
        <v>20</v>
      </c>
      <c r="I1113">
        <v>1</v>
      </c>
      <c r="J1113">
        <v>376</v>
      </c>
      <c r="K1113">
        <v>376</v>
      </c>
      <c r="L11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4" spans="1:12" x14ac:dyDescent="0.3">
      <c r="A1114">
        <v>1113</v>
      </c>
      <c r="B1114" s="1">
        <v>45596</v>
      </c>
      <c r="C1114" s="1" t="str">
        <f>TEXT(RetailStore[[#This Row],[Date]],"mmm")</f>
        <v>Oct</v>
      </c>
      <c r="D1114">
        <v>2024</v>
      </c>
      <c r="E1114" t="s">
        <v>1127</v>
      </c>
      <c r="F1114" t="s">
        <v>11</v>
      </c>
      <c r="G1114">
        <v>39</v>
      </c>
      <c r="H1114" t="s">
        <v>20</v>
      </c>
      <c r="I1114">
        <v>1</v>
      </c>
      <c r="J1114">
        <v>77</v>
      </c>
      <c r="K1114">
        <v>77</v>
      </c>
      <c r="L11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5" spans="1:12" x14ac:dyDescent="0.3">
      <c r="A1115">
        <v>1114</v>
      </c>
      <c r="B1115" s="1">
        <v>45558</v>
      </c>
      <c r="C1115" s="1" t="str">
        <f>TEXT(RetailStore[[#This Row],[Date]],"mmm")</f>
        <v>Sep</v>
      </c>
      <c r="D1115">
        <v>2024</v>
      </c>
      <c r="E1115" t="s">
        <v>1128</v>
      </c>
      <c r="F1115" t="s">
        <v>18</v>
      </c>
      <c r="G1115">
        <v>19</v>
      </c>
      <c r="H1115" t="s">
        <v>12</v>
      </c>
      <c r="I1115">
        <v>3</v>
      </c>
      <c r="J1115">
        <v>352</v>
      </c>
      <c r="K1115">
        <v>1056</v>
      </c>
      <c r="L11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6" spans="1:12" x14ac:dyDescent="0.3">
      <c r="A1116">
        <v>1115</v>
      </c>
      <c r="B1116" s="1">
        <v>45399</v>
      </c>
      <c r="C1116" s="1" t="str">
        <f>TEXT(RetailStore[[#This Row],[Date]],"mmm")</f>
        <v>Apr</v>
      </c>
      <c r="D1116">
        <v>2024</v>
      </c>
      <c r="E1116" t="s">
        <v>1129</v>
      </c>
      <c r="F1116" t="s">
        <v>18</v>
      </c>
      <c r="G1116">
        <v>30</v>
      </c>
      <c r="H1116" t="s">
        <v>15</v>
      </c>
      <c r="I1116">
        <v>3</v>
      </c>
      <c r="J1116">
        <v>166</v>
      </c>
      <c r="K1116">
        <v>498</v>
      </c>
      <c r="L11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17" spans="1:12" x14ac:dyDescent="0.3">
      <c r="A1117">
        <v>1116</v>
      </c>
      <c r="B1117" s="1">
        <v>45564</v>
      </c>
      <c r="C1117" s="1" t="str">
        <f>TEXT(RetailStore[[#This Row],[Date]],"mmm")</f>
        <v>Sep</v>
      </c>
      <c r="D1117">
        <v>2024</v>
      </c>
      <c r="E1117" t="s">
        <v>1130</v>
      </c>
      <c r="F1117" t="s">
        <v>18</v>
      </c>
      <c r="G1117">
        <v>46</v>
      </c>
      <c r="H1117" t="s">
        <v>12</v>
      </c>
      <c r="I1117">
        <v>1</v>
      </c>
      <c r="J1117">
        <v>164</v>
      </c>
      <c r="K1117">
        <v>164</v>
      </c>
      <c r="L11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18" spans="1:12" x14ac:dyDescent="0.3">
      <c r="A1118">
        <v>1117</v>
      </c>
      <c r="B1118" s="1">
        <v>45368</v>
      </c>
      <c r="C1118" s="1" t="str">
        <f>TEXT(RetailStore[[#This Row],[Date]],"mmm")</f>
        <v>Mar</v>
      </c>
      <c r="D1118">
        <v>2024</v>
      </c>
      <c r="E1118" t="s">
        <v>1131</v>
      </c>
      <c r="F1118" t="s">
        <v>11</v>
      </c>
      <c r="G1118">
        <v>35</v>
      </c>
      <c r="H1118" t="s">
        <v>15</v>
      </c>
      <c r="I1118">
        <v>1</v>
      </c>
      <c r="J1118">
        <v>343</v>
      </c>
      <c r="K1118">
        <v>343</v>
      </c>
      <c r="L11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19" spans="1:12" x14ac:dyDescent="0.3">
      <c r="A1119">
        <v>1118</v>
      </c>
      <c r="B1119" s="1">
        <v>45578</v>
      </c>
      <c r="C1119" s="1" t="str">
        <f>TEXT(RetailStore[[#This Row],[Date]],"mmm")</f>
        <v>Oct</v>
      </c>
      <c r="D1119">
        <v>2024</v>
      </c>
      <c r="E1119" t="s">
        <v>1132</v>
      </c>
      <c r="F1119" t="s">
        <v>11</v>
      </c>
      <c r="G1119">
        <v>31</v>
      </c>
      <c r="H1119" t="s">
        <v>12</v>
      </c>
      <c r="I1119">
        <v>3</v>
      </c>
      <c r="J1119">
        <v>306</v>
      </c>
      <c r="K1119">
        <v>918</v>
      </c>
      <c r="L11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20" spans="1:12" x14ac:dyDescent="0.3">
      <c r="A1120">
        <v>1119</v>
      </c>
      <c r="B1120" s="1">
        <v>45455</v>
      </c>
      <c r="C1120" s="1" t="str">
        <f>TEXT(RetailStore[[#This Row],[Date]],"mmm")</f>
        <v>Jun</v>
      </c>
      <c r="D1120">
        <v>2024</v>
      </c>
      <c r="E1120" t="s">
        <v>1133</v>
      </c>
      <c r="F1120" t="s">
        <v>18</v>
      </c>
      <c r="G1120">
        <v>27</v>
      </c>
      <c r="H1120" t="s">
        <v>12</v>
      </c>
      <c r="I1120">
        <v>3</v>
      </c>
      <c r="J1120">
        <v>318</v>
      </c>
      <c r="K1120">
        <v>954</v>
      </c>
      <c r="L11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21" spans="1:12" x14ac:dyDescent="0.3">
      <c r="A1121">
        <v>1120</v>
      </c>
      <c r="B1121" s="1">
        <v>45417</v>
      </c>
      <c r="C1121" s="1" t="str">
        <f>TEXT(RetailStore[[#This Row],[Date]],"mmm")</f>
        <v>May</v>
      </c>
      <c r="D1121">
        <v>2024</v>
      </c>
      <c r="E1121" t="s">
        <v>1134</v>
      </c>
      <c r="F1121" t="s">
        <v>11</v>
      </c>
      <c r="G1121">
        <v>22</v>
      </c>
      <c r="H1121" t="s">
        <v>20</v>
      </c>
      <c r="I1121">
        <v>3</v>
      </c>
      <c r="J1121">
        <v>301</v>
      </c>
      <c r="K1121">
        <v>903</v>
      </c>
      <c r="L11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22" spans="1:12" x14ac:dyDescent="0.3">
      <c r="A1122">
        <v>1121</v>
      </c>
      <c r="B1122" s="1">
        <v>45519</v>
      </c>
      <c r="C1122" s="1" t="str">
        <f>TEXT(RetailStore[[#This Row],[Date]],"mmm")</f>
        <v>Aug</v>
      </c>
      <c r="D1122">
        <v>2024</v>
      </c>
      <c r="E1122" t="s">
        <v>1135</v>
      </c>
      <c r="F1122" t="s">
        <v>11</v>
      </c>
      <c r="G1122">
        <v>26</v>
      </c>
      <c r="H1122" t="s">
        <v>15</v>
      </c>
      <c r="I1122">
        <v>4</v>
      </c>
      <c r="J1122">
        <v>487</v>
      </c>
      <c r="K1122">
        <v>1948</v>
      </c>
      <c r="L11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23" spans="1:12" x14ac:dyDescent="0.3">
      <c r="A1123">
        <v>1122</v>
      </c>
      <c r="B1123" s="1">
        <v>45637</v>
      </c>
      <c r="C1123" s="1" t="str">
        <f>TEXT(RetailStore[[#This Row],[Date]],"mmm")</f>
        <v>Dec</v>
      </c>
      <c r="D1123">
        <v>2024</v>
      </c>
      <c r="E1123" t="s">
        <v>1136</v>
      </c>
      <c r="F1123" t="s">
        <v>11</v>
      </c>
      <c r="G1123">
        <v>24</v>
      </c>
      <c r="H1123" t="s">
        <v>20</v>
      </c>
      <c r="I1123">
        <v>1</v>
      </c>
      <c r="J1123">
        <v>69</v>
      </c>
      <c r="K1123">
        <v>69</v>
      </c>
      <c r="L11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24" spans="1:12" x14ac:dyDescent="0.3">
      <c r="A1124">
        <v>1123</v>
      </c>
      <c r="B1124" s="1">
        <v>45510</v>
      </c>
      <c r="C1124" s="1" t="str">
        <f>TEXT(RetailStore[[#This Row],[Date]],"mmm")</f>
        <v>Aug</v>
      </c>
      <c r="D1124">
        <v>2024</v>
      </c>
      <c r="E1124" t="s">
        <v>1137</v>
      </c>
      <c r="F1124" t="s">
        <v>18</v>
      </c>
      <c r="G1124">
        <v>29</v>
      </c>
      <c r="H1124" t="s">
        <v>12</v>
      </c>
      <c r="I1124">
        <v>4</v>
      </c>
      <c r="J1124">
        <v>340</v>
      </c>
      <c r="K1124">
        <v>1360</v>
      </c>
      <c r="L11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25" spans="1:12" x14ac:dyDescent="0.3">
      <c r="A1125">
        <v>1124</v>
      </c>
      <c r="B1125" s="1">
        <v>45474</v>
      </c>
      <c r="C1125" s="1" t="str">
        <f>TEXT(RetailStore[[#This Row],[Date]],"mmm")</f>
        <v>Jul</v>
      </c>
      <c r="D1125">
        <v>2024</v>
      </c>
      <c r="E1125" t="s">
        <v>1138</v>
      </c>
      <c r="F1125" t="s">
        <v>18</v>
      </c>
      <c r="G1125">
        <v>39</v>
      </c>
      <c r="H1125" t="s">
        <v>15</v>
      </c>
      <c r="I1125">
        <v>1</v>
      </c>
      <c r="J1125">
        <v>497</v>
      </c>
      <c r="K1125">
        <v>497</v>
      </c>
      <c r="L11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26" spans="1:12" x14ac:dyDescent="0.3">
      <c r="A1126">
        <v>1125</v>
      </c>
      <c r="B1126" s="1">
        <v>45530</v>
      </c>
      <c r="C1126" s="1" t="str">
        <f>TEXT(RetailStore[[#This Row],[Date]],"mmm")</f>
        <v>Aug</v>
      </c>
      <c r="D1126">
        <v>2024</v>
      </c>
      <c r="E1126" t="s">
        <v>1139</v>
      </c>
      <c r="F1126" t="s">
        <v>11</v>
      </c>
      <c r="G1126">
        <v>23</v>
      </c>
      <c r="H1126" t="s">
        <v>12</v>
      </c>
      <c r="I1126">
        <v>4</v>
      </c>
      <c r="J1126">
        <v>74</v>
      </c>
      <c r="K1126">
        <v>296</v>
      </c>
      <c r="L11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27" spans="1:12" x14ac:dyDescent="0.3">
      <c r="A1127">
        <v>1126</v>
      </c>
      <c r="B1127" s="1">
        <v>45525</v>
      </c>
      <c r="C1127" s="1" t="str">
        <f>TEXT(RetailStore[[#This Row],[Date]],"mmm")</f>
        <v>Aug</v>
      </c>
      <c r="D1127">
        <v>2024</v>
      </c>
      <c r="E1127" t="s">
        <v>1140</v>
      </c>
      <c r="F1127" t="s">
        <v>18</v>
      </c>
      <c r="G1127">
        <v>61</v>
      </c>
      <c r="H1127" t="s">
        <v>12</v>
      </c>
      <c r="I1127">
        <v>4</v>
      </c>
      <c r="J1127">
        <v>265</v>
      </c>
      <c r="K1127">
        <v>1060</v>
      </c>
      <c r="L11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28" spans="1:12" x14ac:dyDescent="0.3">
      <c r="A1128">
        <v>1127</v>
      </c>
      <c r="B1128" s="1">
        <v>45410</v>
      </c>
      <c r="C1128" s="1" t="str">
        <f>TEXT(RetailStore[[#This Row],[Date]],"mmm")</f>
        <v>Apr</v>
      </c>
      <c r="D1128">
        <v>2024</v>
      </c>
      <c r="E1128" t="s">
        <v>1141</v>
      </c>
      <c r="F1128" t="s">
        <v>11</v>
      </c>
      <c r="G1128">
        <v>27</v>
      </c>
      <c r="H1128" t="s">
        <v>12</v>
      </c>
      <c r="I1128">
        <v>3</v>
      </c>
      <c r="J1128">
        <v>492</v>
      </c>
      <c r="K1128">
        <v>1476</v>
      </c>
      <c r="L11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29" spans="1:12" x14ac:dyDescent="0.3">
      <c r="A1129">
        <v>1128</v>
      </c>
      <c r="B1129" s="1">
        <v>45478</v>
      </c>
      <c r="C1129" s="1" t="str">
        <f>TEXT(RetailStore[[#This Row],[Date]],"mmm")</f>
        <v>Jul</v>
      </c>
      <c r="D1129">
        <v>2024</v>
      </c>
      <c r="E1129" t="s">
        <v>1142</v>
      </c>
      <c r="F1129" t="s">
        <v>18</v>
      </c>
      <c r="G1129">
        <v>29</v>
      </c>
      <c r="H1129" t="s">
        <v>12</v>
      </c>
      <c r="I1129">
        <v>3</v>
      </c>
      <c r="J1129">
        <v>428</v>
      </c>
      <c r="K1129">
        <v>1284</v>
      </c>
      <c r="L11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30" spans="1:12" x14ac:dyDescent="0.3">
      <c r="A1130">
        <v>1129</v>
      </c>
      <c r="B1130" s="1">
        <v>45458</v>
      </c>
      <c r="C1130" s="1" t="str">
        <f>TEXT(RetailStore[[#This Row],[Date]],"mmm")</f>
        <v>Jun</v>
      </c>
      <c r="D1130">
        <v>2024</v>
      </c>
      <c r="E1130" t="s">
        <v>1143</v>
      </c>
      <c r="F1130" t="s">
        <v>18</v>
      </c>
      <c r="G1130">
        <v>49</v>
      </c>
      <c r="H1130" t="s">
        <v>15</v>
      </c>
      <c r="I1130">
        <v>1</v>
      </c>
      <c r="J1130">
        <v>268</v>
      </c>
      <c r="K1130">
        <v>268</v>
      </c>
      <c r="L11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31" spans="1:12" x14ac:dyDescent="0.3">
      <c r="A1131">
        <v>1130</v>
      </c>
      <c r="B1131" s="1">
        <v>45349</v>
      </c>
      <c r="C1131" s="1" t="str">
        <f>TEXT(RetailStore[[#This Row],[Date]],"mmm")</f>
        <v>Feb</v>
      </c>
      <c r="D1131">
        <v>2024</v>
      </c>
      <c r="E1131" t="s">
        <v>1144</v>
      </c>
      <c r="F1131" t="s">
        <v>18</v>
      </c>
      <c r="G1131">
        <v>48</v>
      </c>
      <c r="H1131" t="s">
        <v>20</v>
      </c>
      <c r="I1131">
        <v>2</v>
      </c>
      <c r="J1131">
        <v>169</v>
      </c>
      <c r="K1131">
        <v>338</v>
      </c>
      <c r="L11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32" spans="1:12" x14ac:dyDescent="0.3">
      <c r="A1132">
        <v>1131</v>
      </c>
      <c r="B1132" s="1">
        <v>45470</v>
      </c>
      <c r="C1132" s="1" t="str">
        <f>TEXT(RetailStore[[#This Row],[Date]],"mmm")</f>
        <v>Jun</v>
      </c>
      <c r="D1132">
        <v>2024</v>
      </c>
      <c r="E1132" t="s">
        <v>1145</v>
      </c>
      <c r="F1132" t="s">
        <v>11</v>
      </c>
      <c r="G1132">
        <v>50</v>
      </c>
      <c r="H1132" t="s">
        <v>15</v>
      </c>
      <c r="I1132">
        <v>4</v>
      </c>
      <c r="J1132">
        <v>443</v>
      </c>
      <c r="K1132">
        <v>1772</v>
      </c>
      <c r="L11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33" spans="1:12" x14ac:dyDescent="0.3">
      <c r="A1133">
        <v>1132</v>
      </c>
      <c r="B1133" s="1">
        <v>45657</v>
      </c>
      <c r="C1133" s="1" t="str">
        <f>TEXT(RetailStore[[#This Row],[Date]],"mmm")</f>
        <v>Dec</v>
      </c>
      <c r="D1133">
        <v>2024</v>
      </c>
      <c r="E1133" t="s">
        <v>1146</v>
      </c>
      <c r="F1133" t="s">
        <v>11</v>
      </c>
      <c r="G1133">
        <v>38</v>
      </c>
      <c r="H1133" t="s">
        <v>12</v>
      </c>
      <c r="I1133">
        <v>1</v>
      </c>
      <c r="J1133">
        <v>430</v>
      </c>
      <c r="K1133">
        <v>430</v>
      </c>
      <c r="L11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34" spans="1:12" x14ac:dyDescent="0.3">
      <c r="A1134">
        <v>1133</v>
      </c>
      <c r="B1134" s="1">
        <v>45446</v>
      </c>
      <c r="C1134" s="1" t="str">
        <f>TEXT(RetailStore[[#This Row],[Date]],"mmm")</f>
        <v>Jun</v>
      </c>
      <c r="D1134">
        <v>2024</v>
      </c>
      <c r="E1134" t="s">
        <v>1147</v>
      </c>
      <c r="F1134" t="s">
        <v>18</v>
      </c>
      <c r="G1134">
        <v>43</v>
      </c>
      <c r="H1134" t="s">
        <v>12</v>
      </c>
      <c r="I1134">
        <v>4</v>
      </c>
      <c r="J1134">
        <v>147</v>
      </c>
      <c r="K1134">
        <v>588</v>
      </c>
      <c r="L11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35" spans="1:12" x14ac:dyDescent="0.3">
      <c r="A1135">
        <v>1134</v>
      </c>
      <c r="B1135" s="1">
        <v>45609</v>
      </c>
      <c r="C1135" s="1" t="str">
        <f>TEXT(RetailStore[[#This Row],[Date]],"mmm")</f>
        <v>Nov</v>
      </c>
      <c r="D1135">
        <v>2024</v>
      </c>
      <c r="E1135" t="s">
        <v>1148</v>
      </c>
      <c r="F1135" t="s">
        <v>11</v>
      </c>
      <c r="G1135">
        <v>53</v>
      </c>
      <c r="H1135" t="s">
        <v>15</v>
      </c>
      <c r="I1135">
        <v>4</v>
      </c>
      <c r="J1135">
        <v>221</v>
      </c>
      <c r="K1135">
        <v>884</v>
      </c>
      <c r="L11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36" spans="1:12" x14ac:dyDescent="0.3">
      <c r="A1136">
        <v>1135</v>
      </c>
      <c r="B1136" s="1">
        <v>45325</v>
      </c>
      <c r="C1136" s="1" t="str">
        <f>TEXT(RetailStore[[#This Row],[Date]],"mmm")</f>
        <v>Feb</v>
      </c>
      <c r="D1136">
        <v>2024</v>
      </c>
      <c r="E1136" t="s">
        <v>1149</v>
      </c>
      <c r="F1136" t="s">
        <v>18</v>
      </c>
      <c r="G1136">
        <v>31</v>
      </c>
      <c r="H1136" t="s">
        <v>12</v>
      </c>
      <c r="I1136">
        <v>4</v>
      </c>
      <c r="J1136">
        <v>426</v>
      </c>
      <c r="K1136">
        <v>1704</v>
      </c>
      <c r="L11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37" spans="1:12" x14ac:dyDescent="0.3">
      <c r="A1137">
        <v>1136</v>
      </c>
      <c r="B1137" s="1">
        <v>45514</v>
      </c>
      <c r="C1137" s="1" t="str">
        <f>TEXT(RetailStore[[#This Row],[Date]],"mmm")</f>
        <v>Aug</v>
      </c>
      <c r="D1137">
        <v>2024</v>
      </c>
      <c r="E1137" t="s">
        <v>1150</v>
      </c>
      <c r="F1137" t="s">
        <v>18</v>
      </c>
      <c r="G1137">
        <v>52</v>
      </c>
      <c r="H1137" t="s">
        <v>12</v>
      </c>
      <c r="I1137">
        <v>2</v>
      </c>
      <c r="J1137">
        <v>113</v>
      </c>
      <c r="K1137">
        <v>226</v>
      </c>
      <c r="L11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38" spans="1:12" x14ac:dyDescent="0.3">
      <c r="A1138">
        <v>1137</v>
      </c>
      <c r="B1138" s="1">
        <v>45631</v>
      </c>
      <c r="C1138" s="1" t="str">
        <f>TEXT(RetailStore[[#This Row],[Date]],"mmm")</f>
        <v>Dec</v>
      </c>
      <c r="D1138">
        <v>2024</v>
      </c>
      <c r="E1138" t="s">
        <v>1151</v>
      </c>
      <c r="F1138" t="s">
        <v>11</v>
      </c>
      <c r="G1138">
        <v>63</v>
      </c>
      <c r="H1138" t="s">
        <v>12</v>
      </c>
      <c r="I1138">
        <v>4</v>
      </c>
      <c r="J1138">
        <v>83</v>
      </c>
      <c r="K1138">
        <v>332</v>
      </c>
      <c r="L11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39" spans="1:12" x14ac:dyDescent="0.3">
      <c r="A1139">
        <v>1138</v>
      </c>
      <c r="B1139" s="1">
        <v>45595</v>
      </c>
      <c r="C1139" s="1" t="str">
        <f>TEXT(RetailStore[[#This Row],[Date]],"mmm")</f>
        <v>Oct</v>
      </c>
      <c r="D1139">
        <v>2024</v>
      </c>
      <c r="E1139" t="s">
        <v>1152</v>
      </c>
      <c r="F1139" t="s">
        <v>18</v>
      </c>
      <c r="G1139">
        <v>38</v>
      </c>
      <c r="H1139" t="s">
        <v>12</v>
      </c>
      <c r="I1139">
        <v>1</v>
      </c>
      <c r="J1139">
        <v>445</v>
      </c>
      <c r="K1139">
        <v>445</v>
      </c>
      <c r="L11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40" spans="1:12" x14ac:dyDescent="0.3">
      <c r="A1140">
        <v>1139</v>
      </c>
      <c r="B1140" s="1">
        <v>45519</v>
      </c>
      <c r="C1140" s="1" t="str">
        <f>TEXT(RetailStore[[#This Row],[Date]],"mmm")</f>
        <v>Aug</v>
      </c>
      <c r="D1140">
        <v>2024</v>
      </c>
      <c r="E1140" t="s">
        <v>1153</v>
      </c>
      <c r="F1140" t="s">
        <v>11</v>
      </c>
      <c r="G1140">
        <v>37</v>
      </c>
      <c r="H1140" t="s">
        <v>20</v>
      </c>
      <c r="I1140">
        <v>1</v>
      </c>
      <c r="J1140">
        <v>331</v>
      </c>
      <c r="K1140">
        <v>331</v>
      </c>
      <c r="L11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41" spans="1:12" x14ac:dyDescent="0.3">
      <c r="A1141">
        <v>1140</v>
      </c>
      <c r="B1141" s="1">
        <v>45347</v>
      </c>
      <c r="C1141" s="1" t="str">
        <f>TEXT(RetailStore[[#This Row],[Date]],"mmm")</f>
        <v>Feb</v>
      </c>
      <c r="D1141">
        <v>2024</v>
      </c>
      <c r="E1141" t="s">
        <v>1154</v>
      </c>
      <c r="F1141" t="s">
        <v>18</v>
      </c>
      <c r="G1141">
        <v>38</v>
      </c>
      <c r="H1141" t="s">
        <v>20</v>
      </c>
      <c r="I1141">
        <v>1</v>
      </c>
      <c r="J1141">
        <v>71</v>
      </c>
      <c r="K1141">
        <v>71</v>
      </c>
      <c r="L11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42" spans="1:12" x14ac:dyDescent="0.3">
      <c r="A1142">
        <v>1141</v>
      </c>
      <c r="B1142" s="1">
        <v>45403</v>
      </c>
      <c r="C1142" s="1" t="str">
        <f>TEXT(RetailStore[[#This Row],[Date]],"mmm")</f>
        <v>Apr</v>
      </c>
      <c r="D1142">
        <v>2024</v>
      </c>
      <c r="E1142" t="s">
        <v>1155</v>
      </c>
      <c r="F1142" t="s">
        <v>11</v>
      </c>
      <c r="G1142">
        <v>55</v>
      </c>
      <c r="H1142" t="s">
        <v>12</v>
      </c>
      <c r="I1142">
        <v>1</v>
      </c>
      <c r="J1142">
        <v>412</v>
      </c>
      <c r="K1142">
        <v>412</v>
      </c>
      <c r="L11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43" spans="1:12" x14ac:dyDescent="0.3">
      <c r="A1143">
        <v>1142</v>
      </c>
      <c r="B1143" s="1">
        <v>45367</v>
      </c>
      <c r="C1143" s="1" t="str">
        <f>TEXT(RetailStore[[#This Row],[Date]],"mmm")</f>
        <v>Mar</v>
      </c>
      <c r="D1143">
        <v>2024</v>
      </c>
      <c r="E1143" t="s">
        <v>1156</v>
      </c>
      <c r="F1143" t="s">
        <v>11</v>
      </c>
      <c r="G1143">
        <v>46</v>
      </c>
      <c r="H1143" t="s">
        <v>12</v>
      </c>
      <c r="I1143">
        <v>3</v>
      </c>
      <c r="J1143">
        <v>224</v>
      </c>
      <c r="K1143">
        <v>672</v>
      </c>
      <c r="L11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44" spans="1:12" x14ac:dyDescent="0.3">
      <c r="A1144">
        <v>1143</v>
      </c>
      <c r="B1144" s="1">
        <v>45607</v>
      </c>
      <c r="C1144" s="1" t="str">
        <f>TEXT(RetailStore[[#This Row],[Date]],"mmm")</f>
        <v>Nov</v>
      </c>
      <c r="D1144">
        <v>2024</v>
      </c>
      <c r="E1144" t="s">
        <v>1157</v>
      </c>
      <c r="F1144" t="s">
        <v>18</v>
      </c>
      <c r="G1144">
        <v>30</v>
      </c>
      <c r="H1144" t="s">
        <v>15</v>
      </c>
      <c r="I1144">
        <v>3</v>
      </c>
      <c r="J1144">
        <v>178</v>
      </c>
      <c r="K1144">
        <v>534</v>
      </c>
      <c r="L11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45" spans="1:12" x14ac:dyDescent="0.3">
      <c r="A1145">
        <v>1144</v>
      </c>
      <c r="B1145" s="1">
        <v>45583</v>
      </c>
      <c r="C1145" s="1" t="str">
        <f>TEXT(RetailStore[[#This Row],[Date]],"mmm")</f>
        <v>Oct</v>
      </c>
      <c r="D1145">
        <v>2024</v>
      </c>
      <c r="E1145" t="s">
        <v>1158</v>
      </c>
      <c r="F1145" t="s">
        <v>18</v>
      </c>
      <c r="G1145">
        <v>45</v>
      </c>
      <c r="H1145" t="s">
        <v>12</v>
      </c>
      <c r="I1145">
        <v>3</v>
      </c>
      <c r="J1145">
        <v>70</v>
      </c>
      <c r="K1145">
        <v>210</v>
      </c>
      <c r="L11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46" spans="1:12" x14ac:dyDescent="0.3">
      <c r="A1146">
        <v>1145</v>
      </c>
      <c r="B1146" s="1">
        <v>45590</v>
      </c>
      <c r="C1146" s="1" t="str">
        <f>TEXT(RetailStore[[#This Row],[Date]],"mmm")</f>
        <v>Oct</v>
      </c>
      <c r="D1146">
        <v>2024</v>
      </c>
      <c r="E1146" t="s">
        <v>1159</v>
      </c>
      <c r="F1146" t="s">
        <v>11</v>
      </c>
      <c r="G1146">
        <v>57</v>
      </c>
      <c r="H1146" t="s">
        <v>12</v>
      </c>
      <c r="I1146">
        <v>4</v>
      </c>
      <c r="J1146">
        <v>458</v>
      </c>
      <c r="K1146">
        <v>1832</v>
      </c>
      <c r="L11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47" spans="1:12" x14ac:dyDescent="0.3">
      <c r="A1147">
        <v>1146</v>
      </c>
      <c r="B1147" s="1">
        <v>45357</v>
      </c>
      <c r="C1147" s="1" t="str">
        <f>TEXT(RetailStore[[#This Row],[Date]],"mmm")</f>
        <v>Mar</v>
      </c>
      <c r="D1147">
        <v>2024</v>
      </c>
      <c r="E1147" t="s">
        <v>1160</v>
      </c>
      <c r="F1147" t="s">
        <v>18</v>
      </c>
      <c r="G1147">
        <v>21</v>
      </c>
      <c r="H1147" t="s">
        <v>20</v>
      </c>
      <c r="I1147">
        <v>1</v>
      </c>
      <c r="J1147">
        <v>25</v>
      </c>
      <c r="K1147">
        <v>25</v>
      </c>
      <c r="L11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48" spans="1:12" x14ac:dyDescent="0.3">
      <c r="A1148">
        <v>1147</v>
      </c>
      <c r="B1148" s="1">
        <v>45652</v>
      </c>
      <c r="C1148" s="1" t="str">
        <f>TEXT(RetailStore[[#This Row],[Date]],"mmm")</f>
        <v>Dec</v>
      </c>
      <c r="D1148">
        <v>2024</v>
      </c>
      <c r="E1148" t="s">
        <v>1161</v>
      </c>
      <c r="F1148" t="s">
        <v>18</v>
      </c>
      <c r="G1148">
        <v>25</v>
      </c>
      <c r="H1148" t="s">
        <v>20</v>
      </c>
      <c r="I1148">
        <v>1</v>
      </c>
      <c r="J1148">
        <v>145</v>
      </c>
      <c r="K1148">
        <v>145</v>
      </c>
      <c r="L11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49" spans="1:12" x14ac:dyDescent="0.3">
      <c r="A1149">
        <v>1148</v>
      </c>
      <c r="B1149" s="1">
        <v>45513</v>
      </c>
      <c r="C1149" s="1" t="str">
        <f>TEXT(RetailStore[[#This Row],[Date]],"mmm")</f>
        <v>Aug</v>
      </c>
      <c r="D1149">
        <v>2024</v>
      </c>
      <c r="E1149" t="s">
        <v>1162</v>
      </c>
      <c r="F1149" t="s">
        <v>18</v>
      </c>
      <c r="G1149">
        <v>58</v>
      </c>
      <c r="H1149" t="s">
        <v>20</v>
      </c>
      <c r="I1149">
        <v>4</v>
      </c>
      <c r="J1149">
        <v>232</v>
      </c>
      <c r="K1149">
        <v>928</v>
      </c>
      <c r="L11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50" spans="1:12" x14ac:dyDescent="0.3">
      <c r="A1150">
        <v>1149</v>
      </c>
      <c r="B1150" s="1">
        <v>45487</v>
      </c>
      <c r="C1150" s="1" t="str">
        <f>TEXT(RetailStore[[#This Row],[Date]],"mmm")</f>
        <v>Jul</v>
      </c>
      <c r="D1150">
        <v>2024</v>
      </c>
      <c r="E1150" t="s">
        <v>1163</v>
      </c>
      <c r="F1150" t="s">
        <v>18</v>
      </c>
      <c r="G1150">
        <v>52</v>
      </c>
      <c r="H1150" t="s">
        <v>15</v>
      </c>
      <c r="I1150">
        <v>2</v>
      </c>
      <c r="J1150">
        <v>268</v>
      </c>
      <c r="K1150">
        <v>536</v>
      </c>
      <c r="L11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51" spans="1:12" x14ac:dyDescent="0.3">
      <c r="A1151">
        <v>1150</v>
      </c>
      <c r="B1151" s="1">
        <v>45363</v>
      </c>
      <c r="C1151" s="1" t="str">
        <f>TEXT(RetailStore[[#This Row],[Date]],"mmm")</f>
        <v>Mar</v>
      </c>
      <c r="D1151">
        <v>2024</v>
      </c>
      <c r="E1151" t="s">
        <v>1164</v>
      </c>
      <c r="F1151" t="s">
        <v>11</v>
      </c>
      <c r="G1151">
        <v>53</v>
      </c>
      <c r="H1151" t="s">
        <v>20</v>
      </c>
      <c r="I1151">
        <v>3</v>
      </c>
      <c r="J1151">
        <v>455</v>
      </c>
      <c r="K1151">
        <v>1365</v>
      </c>
      <c r="L11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52" spans="1:12" x14ac:dyDescent="0.3">
      <c r="A1152">
        <v>1151</v>
      </c>
      <c r="B1152" s="1">
        <v>45505</v>
      </c>
      <c r="C1152" s="1" t="str">
        <f>TEXT(RetailStore[[#This Row],[Date]],"mmm")</f>
        <v>Aug</v>
      </c>
      <c r="D1152">
        <v>2024</v>
      </c>
      <c r="E1152" t="s">
        <v>1165</v>
      </c>
      <c r="F1152" t="s">
        <v>11</v>
      </c>
      <c r="G1152">
        <v>36</v>
      </c>
      <c r="H1152" t="s">
        <v>12</v>
      </c>
      <c r="I1152">
        <v>2</v>
      </c>
      <c r="J1152">
        <v>93</v>
      </c>
      <c r="K1152">
        <v>186</v>
      </c>
      <c r="L11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53" spans="1:12" x14ac:dyDescent="0.3">
      <c r="A1153">
        <v>1152</v>
      </c>
      <c r="B1153" s="1">
        <v>45297</v>
      </c>
      <c r="C1153" s="1" t="str">
        <f>TEXT(RetailStore[[#This Row],[Date]],"mmm")</f>
        <v>Jan</v>
      </c>
      <c r="D1153">
        <v>2024</v>
      </c>
      <c r="E1153" t="s">
        <v>1166</v>
      </c>
      <c r="F1153" t="s">
        <v>11</v>
      </c>
      <c r="G1153">
        <v>59</v>
      </c>
      <c r="H1153" t="s">
        <v>15</v>
      </c>
      <c r="I1153">
        <v>2</v>
      </c>
      <c r="J1153">
        <v>394</v>
      </c>
      <c r="K1153">
        <v>788</v>
      </c>
      <c r="L11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54" spans="1:12" x14ac:dyDescent="0.3">
      <c r="A1154">
        <v>1153</v>
      </c>
      <c r="B1154" s="1">
        <v>45541</v>
      </c>
      <c r="C1154" s="1" t="str">
        <f>TEXT(RetailStore[[#This Row],[Date]],"mmm")</f>
        <v>Sep</v>
      </c>
      <c r="D1154">
        <v>2024</v>
      </c>
      <c r="E1154" t="s">
        <v>1167</v>
      </c>
      <c r="F1154" t="s">
        <v>18</v>
      </c>
      <c r="G1154">
        <v>26</v>
      </c>
      <c r="H1154" t="s">
        <v>15</v>
      </c>
      <c r="I1154">
        <v>2</v>
      </c>
      <c r="J1154">
        <v>353</v>
      </c>
      <c r="K1154">
        <v>706</v>
      </c>
      <c r="L11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55" spans="1:12" x14ac:dyDescent="0.3">
      <c r="A1155">
        <v>1154</v>
      </c>
      <c r="B1155" s="1">
        <v>45504</v>
      </c>
      <c r="C1155" s="1" t="str">
        <f>TEXT(RetailStore[[#This Row],[Date]],"mmm")</f>
        <v>Jul</v>
      </c>
      <c r="D1155">
        <v>2024</v>
      </c>
      <c r="E1155" t="s">
        <v>1168</v>
      </c>
      <c r="F1155" t="s">
        <v>18</v>
      </c>
      <c r="G1155">
        <v>62</v>
      </c>
      <c r="H1155" t="s">
        <v>12</v>
      </c>
      <c r="I1155">
        <v>4</v>
      </c>
      <c r="J1155">
        <v>344</v>
      </c>
      <c r="K1155">
        <v>1376</v>
      </c>
      <c r="L11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56" spans="1:12" x14ac:dyDescent="0.3">
      <c r="A1156">
        <v>1155</v>
      </c>
      <c r="B1156" s="1">
        <v>45384</v>
      </c>
      <c r="C1156" s="1" t="str">
        <f>TEXT(RetailStore[[#This Row],[Date]],"mmm")</f>
        <v>Apr</v>
      </c>
      <c r="D1156">
        <v>2024</v>
      </c>
      <c r="E1156" t="s">
        <v>1169</v>
      </c>
      <c r="F1156" t="s">
        <v>18</v>
      </c>
      <c r="G1156">
        <v>50</v>
      </c>
      <c r="H1156" t="s">
        <v>20</v>
      </c>
      <c r="I1156">
        <v>4</v>
      </c>
      <c r="J1156">
        <v>221</v>
      </c>
      <c r="K1156">
        <v>884</v>
      </c>
      <c r="L11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57" spans="1:12" x14ac:dyDescent="0.3">
      <c r="A1157">
        <v>1156</v>
      </c>
      <c r="B1157" s="1">
        <v>45473</v>
      </c>
      <c r="C1157" s="1" t="str">
        <f>TEXT(RetailStore[[#This Row],[Date]],"mmm")</f>
        <v>Jun</v>
      </c>
      <c r="D1157">
        <v>2024</v>
      </c>
      <c r="E1157" t="s">
        <v>1170</v>
      </c>
      <c r="F1157" t="s">
        <v>11</v>
      </c>
      <c r="G1157">
        <v>29</v>
      </c>
      <c r="H1157" t="s">
        <v>20</v>
      </c>
      <c r="I1157">
        <v>1</v>
      </c>
      <c r="J1157">
        <v>320</v>
      </c>
      <c r="K1157">
        <v>320</v>
      </c>
      <c r="L11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58" spans="1:12" x14ac:dyDescent="0.3">
      <c r="A1158">
        <v>1157</v>
      </c>
      <c r="B1158" s="1">
        <v>45547</v>
      </c>
      <c r="C1158" s="1" t="str">
        <f>TEXT(RetailStore[[#This Row],[Date]],"mmm")</f>
        <v>Sep</v>
      </c>
      <c r="D1158">
        <v>2024</v>
      </c>
      <c r="E1158" t="s">
        <v>1171</v>
      </c>
      <c r="F1158" t="s">
        <v>11</v>
      </c>
      <c r="G1158">
        <v>63</v>
      </c>
      <c r="H1158" t="s">
        <v>12</v>
      </c>
      <c r="I1158">
        <v>3</v>
      </c>
      <c r="J1158">
        <v>235</v>
      </c>
      <c r="K1158">
        <v>705</v>
      </c>
      <c r="L11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59" spans="1:12" x14ac:dyDescent="0.3">
      <c r="A1159">
        <v>1158</v>
      </c>
      <c r="B1159" s="1">
        <v>45571</v>
      </c>
      <c r="C1159" s="1" t="str">
        <f>TEXT(RetailStore[[#This Row],[Date]],"mmm")</f>
        <v>Oct</v>
      </c>
      <c r="D1159">
        <v>2024</v>
      </c>
      <c r="E1159" t="s">
        <v>1172</v>
      </c>
      <c r="F1159" t="s">
        <v>18</v>
      </c>
      <c r="G1159">
        <v>20</v>
      </c>
      <c r="H1159" t="s">
        <v>15</v>
      </c>
      <c r="I1159">
        <v>4</v>
      </c>
      <c r="J1159">
        <v>385</v>
      </c>
      <c r="K1159">
        <v>1540</v>
      </c>
      <c r="L11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60" spans="1:12" x14ac:dyDescent="0.3">
      <c r="A1160">
        <v>1159</v>
      </c>
      <c r="B1160" s="1">
        <v>45480</v>
      </c>
      <c r="C1160" s="1" t="str">
        <f>TEXT(RetailStore[[#This Row],[Date]],"mmm")</f>
        <v>Jul</v>
      </c>
      <c r="D1160">
        <v>2024</v>
      </c>
      <c r="E1160" t="s">
        <v>1173</v>
      </c>
      <c r="F1160" t="s">
        <v>11</v>
      </c>
      <c r="G1160">
        <v>55</v>
      </c>
      <c r="H1160" t="s">
        <v>20</v>
      </c>
      <c r="I1160">
        <v>1</v>
      </c>
      <c r="J1160">
        <v>97</v>
      </c>
      <c r="K1160">
        <v>97</v>
      </c>
      <c r="L11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61" spans="1:12" x14ac:dyDescent="0.3">
      <c r="A1161">
        <v>1160</v>
      </c>
      <c r="B1161" s="1">
        <v>45561</v>
      </c>
      <c r="C1161" s="1" t="str">
        <f>TEXT(RetailStore[[#This Row],[Date]],"mmm")</f>
        <v>Sep</v>
      </c>
      <c r="D1161">
        <v>2024</v>
      </c>
      <c r="E1161" t="s">
        <v>1174</v>
      </c>
      <c r="F1161" t="s">
        <v>18</v>
      </c>
      <c r="G1161">
        <v>47</v>
      </c>
      <c r="H1161" t="s">
        <v>12</v>
      </c>
      <c r="I1161">
        <v>1</v>
      </c>
      <c r="J1161">
        <v>292</v>
      </c>
      <c r="K1161">
        <v>292</v>
      </c>
      <c r="L11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62" spans="1:12" x14ac:dyDescent="0.3">
      <c r="A1162">
        <v>1161</v>
      </c>
      <c r="B1162" s="1">
        <v>45604</v>
      </c>
      <c r="C1162" s="1" t="str">
        <f>TEXT(RetailStore[[#This Row],[Date]],"mmm")</f>
        <v>Nov</v>
      </c>
      <c r="D1162">
        <v>2024</v>
      </c>
      <c r="E1162" t="s">
        <v>1175</v>
      </c>
      <c r="F1162" t="s">
        <v>11</v>
      </c>
      <c r="G1162">
        <v>33</v>
      </c>
      <c r="H1162" t="s">
        <v>20</v>
      </c>
      <c r="I1162">
        <v>1</v>
      </c>
      <c r="J1162">
        <v>375</v>
      </c>
      <c r="K1162">
        <v>375</v>
      </c>
      <c r="L11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63" spans="1:12" x14ac:dyDescent="0.3">
      <c r="A1163">
        <v>1162</v>
      </c>
      <c r="B1163" s="1">
        <v>45616</v>
      </c>
      <c r="C1163" s="1" t="str">
        <f>TEXT(RetailStore[[#This Row],[Date]],"mmm")</f>
        <v>Nov</v>
      </c>
      <c r="D1163">
        <v>2024</v>
      </c>
      <c r="E1163" t="s">
        <v>1176</v>
      </c>
      <c r="F1163" t="s">
        <v>18</v>
      </c>
      <c r="G1163">
        <v>57</v>
      </c>
      <c r="H1163" t="s">
        <v>15</v>
      </c>
      <c r="I1163">
        <v>3</v>
      </c>
      <c r="J1163">
        <v>298</v>
      </c>
      <c r="K1163">
        <v>894</v>
      </c>
      <c r="L11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64" spans="1:12" x14ac:dyDescent="0.3">
      <c r="A1164">
        <v>1163</v>
      </c>
      <c r="B1164" s="1">
        <v>45297</v>
      </c>
      <c r="C1164" s="1" t="str">
        <f>TEXT(RetailStore[[#This Row],[Date]],"mmm")</f>
        <v>Jan</v>
      </c>
      <c r="D1164">
        <v>2024</v>
      </c>
      <c r="E1164" t="s">
        <v>1177</v>
      </c>
      <c r="F1164" t="s">
        <v>18</v>
      </c>
      <c r="G1164">
        <v>47</v>
      </c>
      <c r="H1164" t="s">
        <v>12</v>
      </c>
      <c r="I1164">
        <v>4</v>
      </c>
      <c r="J1164">
        <v>318</v>
      </c>
      <c r="K1164">
        <v>1272</v>
      </c>
      <c r="L11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65" spans="1:12" x14ac:dyDescent="0.3">
      <c r="A1165">
        <v>1164</v>
      </c>
      <c r="B1165" s="1">
        <v>45461</v>
      </c>
      <c r="C1165" s="1" t="str">
        <f>TEXT(RetailStore[[#This Row],[Date]],"mmm")</f>
        <v>Jun</v>
      </c>
      <c r="D1165">
        <v>2024</v>
      </c>
      <c r="E1165" t="s">
        <v>1178</v>
      </c>
      <c r="F1165" t="s">
        <v>18</v>
      </c>
      <c r="G1165">
        <v>40</v>
      </c>
      <c r="H1165" t="s">
        <v>20</v>
      </c>
      <c r="I1165">
        <v>3</v>
      </c>
      <c r="J1165">
        <v>110</v>
      </c>
      <c r="K1165">
        <v>330</v>
      </c>
      <c r="L11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66" spans="1:12" x14ac:dyDescent="0.3">
      <c r="A1166">
        <v>1165</v>
      </c>
      <c r="B1166" s="1">
        <v>45310</v>
      </c>
      <c r="C1166" s="1" t="str">
        <f>TEXT(RetailStore[[#This Row],[Date]],"mmm")</f>
        <v>Jan</v>
      </c>
      <c r="D1166">
        <v>2024</v>
      </c>
      <c r="E1166" t="s">
        <v>1179</v>
      </c>
      <c r="F1166" t="s">
        <v>18</v>
      </c>
      <c r="G1166">
        <v>64</v>
      </c>
      <c r="H1166" t="s">
        <v>12</v>
      </c>
      <c r="I1166">
        <v>3</v>
      </c>
      <c r="J1166">
        <v>56</v>
      </c>
      <c r="K1166">
        <v>168</v>
      </c>
      <c r="L11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67" spans="1:12" x14ac:dyDescent="0.3">
      <c r="A1167">
        <v>1166</v>
      </c>
      <c r="B1167" s="1">
        <v>45614</v>
      </c>
      <c r="C1167" s="1" t="str">
        <f>TEXT(RetailStore[[#This Row],[Date]],"mmm")</f>
        <v>Nov</v>
      </c>
      <c r="D1167">
        <v>2024</v>
      </c>
      <c r="E1167" t="s">
        <v>1180</v>
      </c>
      <c r="F1167" t="s">
        <v>18</v>
      </c>
      <c r="G1167">
        <v>55</v>
      </c>
      <c r="H1167" t="s">
        <v>15</v>
      </c>
      <c r="I1167">
        <v>1</v>
      </c>
      <c r="J1167">
        <v>361</v>
      </c>
      <c r="K1167">
        <v>361</v>
      </c>
      <c r="L11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68" spans="1:12" x14ac:dyDescent="0.3">
      <c r="A1168">
        <v>1167</v>
      </c>
      <c r="B1168" s="1">
        <v>45441</v>
      </c>
      <c r="C1168" s="1" t="str">
        <f>TEXT(RetailStore[[#This Row],[Date]],"mmm")</f>
        <v>May</v>
      </c>
      <c r="D1168">
        <v>2024</v>
      </c>
      <c r="E1168" t="s">
        <v>1181</v>
      </c>
      <c r="F1168" t="s">
        <v>11</v>
      </c>
      <c r="G1168">
        <v>36</v>
      </c>
      <c r="H1168" t="s">
        <v>20</v>
      </c>
      <c r="I1168">
        <v>1</v>
      </c>
      <c r="J1168">
        <v>89</v>
      </c>
      <c r="K1168">
        <v>89</v>
      </c>
      <c r="L11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69" spans="1:12" x14ac:dyDescent="0.3">
      <c r="A1169">
        <v>1168</v>
      </c>
      <c r="B1169" s="1">
        <v>45550</v>
      </c>
      <c r="C1169" s="1" t="str">
        <f>TEXT(RetailStore[[#This Row],[Date]],"mmm")</f>
        <v>Sep</v>
      </c>
      <c r="D1169">
        <v>2024</v>
      </c>
      <c r="E1169" t="s">
        <v>1182</v>
      </c>
      <c r="F1169" t="s">
        <v>11</v>
      </c>
      <c r="G1169">
        <v>35</v>
      </c>
      <c r="H1169" t="s">
        <v>20</v>
      </c>
      <c r="I1169">
        <v>2</v>
      </c>
      <c r="J1169">
        <v>340</v>
      </c>
      <c r="K1169">
        <v>680</v>
      </c>
      <c r="L11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70" spans="1:12" x14ac:dyDescent="0.3">
      <c r="A1170">
        <v>1169</v>
      </c>
      <c r="B1170" s="1">
        <v>45435</v>
      </c>
      <c r="C1170" s="1" t="str">
        <f>TEXT(RetailStore[[#This Row],[Date]],"mmm")</f>
        <v>May</v>
      </c>
      <c r="D1170">
        <v>2024</v>
      </c>
      <c r="E1170" t="s">
        <v>1183</v>
      </c>
      <c r="F1170" t="s">
        <v>18</v>
      </c>
      <c r="G1170">
        <v>34</v>
      </c>
      <c r="H1170" t="s">
        <v>15</v>
      </c>
      <c r="I1170">
        <v>1</v>
      </c>
      <c r="J1170">
        <v>334</v>
      </c>
      <c r="K1170">
        <v>334</v>
      </c>
      <c r="L11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71" spans="1:12" x14ac:dyDescent="0.3">
      <c r="A1171">
        <v>1170</v>
      </c>
      <c r="B1171" s="1">
        <v>45381</v>
      </c>
      <c r="C1171" s="1" t="str">
        <f>TEXT(RetailStore[[#This Row],[Date]],"mmm")</f>
        <v>Mar</v>
      </c>
      <c r="D1171">
        <v>2024</v>
      </c>
      <c r="E1171" t="s">
        <v>1184</v>
      </c>
      <c r="F1171" t="s">
        <v>11</v>
      </c>
      <c r="G1171">
        <v>60</v>
      </c>
      <c r="H1171" t="s">
        <v>20</v>
      </c>
      <c r="I1171">
        <v>3</v>
      </c>
      <c r="J1171">
        <v>438</v>
      </c>
      <c r="K1171">
        <v>1314</v>
      </c>
      <c r="L11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72" spans="1:12" x14ac:dyDescent="0.3">
      <c r="A1172">
        <v>1171</v>
      </c>
      <c r="B1172" s="1">
        <v>45381</v>
      </c>
      <c r="C1172" s="1" t="str">
        <f>TEXT(RetailStore[[#This Row],[Date]],"mmm")</f>
        <v>Mar</v>
      </c>
      <c r="D1172">
        <v>2024</v>
      </c>
      <c r="E1172" t="s">
        <v>1185</v>
      </c>
      <c r="F1172" t="s">
        <v>18</v>
      </c>
      <c r="G1172">
        <v>62</v>
      </c>
      <c r="H1172" t="s">
        <v>15</v>
      </c>
      <c r="I1172">
        <v>4</v>
      </c>
      <c r="J1172">
        <v>117</v>
      </c>
      <c r="K1172">
        <v>468</v>
      </c>
      <c r="L11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73" spans="1:12" x14ac:dyDescent="0.3">
      <c r="A1173">
        <v>1172</v>
      </c>
      <c r="B1173" s="1">
        <v>45562</v>
      </c>
      <c r="C1173" s="1" t="str">
        <f>TEXT(RetailStore[[#This Row],[Date]],"mmm")</f>
        <v>Sep</v>
      </c>
      <c r="D1173">
        <v>2024</v>
      </c>
      <c r="E1173" t="s">
        <v>1186</v>
      </c>
      <c r="F1173" t="s">
        <v>11</v>
      </c>
      <c r="G1173">
        <v>39</v>
      </c>
      <c r="H1173" t="s">
        <v>15</v>
      </c>
      <c r="I1173">
        <v>2</v>
      </c>
      <c r="J1173">
        <v>329</v>
      </c>
      <c r="K1173">
        <v>658</v>
      </c>
      <c r="L11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74" spans="1:12" x14ac:dyDescent="0.3">
      <c r="A1174">
        <v>1173</v>
      </c>
      <c r="B1174" s="1">
        <v>45370</v>
      </c>
      <c r="C1174" s="1" t="str">
        <f>TEXT(RetailStore[[#This Row],[Date]],"mmm")</f>
        <v>Mar</v>
      </c>
      <c r="D1174">
        <v>2024</v>
      </c>
      <c r="E1174" t="s">
        <v>1187</v>
      </c>
      <c r="F1174" t="s">
        <v>18</v>
      </c>
      <c r="G1174">
        <v>44</v>
      </c>
      <c r="H1174" t="s">
        <v>20</v>
      </c>
      <c r="I1174">
        <v>2</v>
      </c>
      <c r="J1174">
        <v>363</v>
      </c>
      <c r="K1174">
        <v>726</v>
      </c>
      <c r="L11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75" spans="1:12" x14ac:dyDescent="0.3">
      <c r="A1175">
        <v>1174</v>
      </c>
      <c r="B1175" s="1">
        <v>45517</v>
      </c>
      <c r="C1175" s="1" t="str">
        <f>TEXT(RetailStore[[#This Row],[Date]],"mmm")</f>
        <v>Aug</v>
      </c>
      <c r="D1175">
        <v>2024</v>
      </c>
      <c r="E1175" t="s">
        <v>1188</v>
      </c>
      <c r="F1175" t="s">
        <v>11</v>
      </c>
      <c r="G1175">
        <v>31</v>
      </c>
      <c r="H1175" t="s">
        <v>12</v>
      </c>
      <c r="I1175">
        <v>3</v>
      </c>
      <c r="J1175">
        <v>52</v>
      </c>
      <c r="K1175">
        <v>156</v>
      </c>
      <c r="L11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76" spans="1:12" x14ac:dyDescent="0.3">
      <c r="A1176">
        <v>1175</v>
      </c>
      <c r="B1176" s="1">
        <v>45620</v>
      </c>
      <c r="C1176" s="1" t="str">
        <f>TEXT(RetailStore[[#This Row],[Date]],"mmm")</f>
        <v>Nov</v>
      </c>
      <c r="D1176">
        <v>2024</v>
      </c>
      <c r="E1176" t="s">
        <v>1189</v>
      </c>
      <c r="F1176" t="s">
        <v>18</v>
      </c>
      <c r="G1176">
        <v>25</v>
      </c>
      <c r="H1176" t="s">
        <v>15</v>
      </c>
      <c r="I1176">
        <v>2</v>
      </c>
      <c r="J1176">
        <v>262</v>
      </c>
      <c r="K1176">
        <v>524</v>
      </c>
      <c r="L11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77" spans="1:12" x14ac:dyDescent="0.3">
      <c r="A1177">
        <v>1176</v>
      </c>
      <c r="B1177" s="1">
        <v>45496</v>
      </c>
      <c r="C1177" s="1" t="str">
        <f>TEXT(RetailStore[[#This Row],[Date]],"mmm")</f>
        <v>Jul</v>
      </c>
      <c r="D1177">
        <v>2024</v>
      </c>
      <c r="E1177" t="s">
        <v>1190</v>
      </c>
      <c r="F1177" t="s">
        <v>18</v>
      </c>
      <c r="G1177">
        <v>37</v>
      </c>
      <c r="H1177" t="s">
        <v>20</v>
      </c>
      <c r="I1177">
        <v>2</v>
      </c>
      <c r="J1177">
        <v>219</v>
      </c>
      <c r="K1177">
        <v>438</v>
      </c>
      <c r="L11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78" spans="1:12" x14ac:dyDescent="0.3">
      <c r="A1178">
        <v>1177</v>
      </c>
      <c r="B1178" s="1">
        <v>45641</v>
      </c>
      <c r="C1178" s="1" t="str">
        <f>TEXT(RetailStore[[#This Row],[Date]],"mmm")</f>
        <v>Dec</v>
      </c>
      <c r="D1178">
        <v>2024</v>
      </c>
      <c r="E1178" t="s">
        <v>1191</v>
      </c>
      <c r="F1178" t="s">
        <v>18</v>
      </c>
      <c r="G1178">
        <v>48</v>
      </c>
      <c r="H1178" t="s">
        <v>20</v>
      </c>
      <c r="I1178">
        <v>2</v>
      </c>
      <c r="J1178">
        <v>296</v>
      </c>
      <c r="K1178">
        <v>592</v>
      </c>
      <c r="L11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79" spans="1:12" x14ac:dyDescent="0.3">
      <c r="A1179">
        <v>1178</v>
      </c>
      <c r="B1179" s="1">
        <v>45514</v>
      </c>
      <c r="C1179" s="1" t="str">
        <f>TEXT(RetailStore[[#This Row],[Date]],"mmm")</f>
        <v>Aug</v>
      </c>
      <c r="D1179">
        <v>2024</v>
      </c>
      <c r="E1179" t="s">
        <v>1192</v>
      </c>
      <c r="F1179" t="s">
        <v>11</v>
      </c>
      <c r="G1179">
        <v>36</v>
      </c>
      <c r="H1179" t="s">
        <v>20</v>
      </c>
      <c r="I1179">
        <v>4</v>
      </c>
      <c r="J1179">
        <v>372</v>
      </c>
      <c r="K1179">
        <v>1488</v>
      </c>
      <c r="L11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80" spans="1:12" x14ac:dyDescent="0.3">
      <c r="A1180">
        <v>1179</v>
      </c>
      <c r="B1180" s="1">
        <v>45453</v>
      </c>
      <c r="C1180" s="1" t="str">
        <f>TEXT(RetailStore[[#This Row],[Date]],"mmm")</f>
        <v>Jun</v>
      </c>
      <c r="D1180">
        <v>2024</v>
      </c>
      <c r="E1180" t="s">
        <v>1193</v>
      </c>
      <c r="F1180" t="s">
        <v>11</v>
      </c>
      <c r="G1180">
        <v>24</v>
      </c>
      <c r="H1180" t="s">
        <v>12</v>
      </c>
      <c r="I1180">
        <v>3</v>
      </c>
      <c r="J1180">
        <v>457</v>
      </c>
      <c r="K1180">
        <v>1371</v>
      </c>
      <c r="L11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81" spans="1:12" x14ac:dyDescent="0.3">
      <c r="A1181">
        <v>1180</v>
      </c>
      <c r="B1181" s="1">
        <v>45513</v>
      </c>
      <c r="C1181" s="1" t="str">
        <f>TEXT(RetailStore[[#This Row],[Date]],"mmm")</f>
        <v>Aug</v>
      </c>
      <c r="D1181">
        <v>2024</v>
      </c>
      <c r="E1181" t="s">
        <v>1194</v>
      </c>
      <c r="F1181" t="s">
        <v>18</v>
      </c>
      <c r="G1181">
        <v>39</v>
      </c>
      <c r="H1181" t="s">
        <v>20</v>
      </c>
      <c r="I1181">
        <v>3</v>
      </c>
      <c r="J1181">
        <v>435</v>
      </c>
      <c r="K1181">
        <v>1305</v>
      </c>
      <c r="L11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82" spans="1:12" x14ac:dyDescent="0.3">
      <c r="A1182">
        <v>1181</v>
      </c>
      <c r="B1182" s="1">
        <v>45342</v>
      </c>
      <c r="C1182" s="1" t="str">
        <f>TEXT(RetailStore[[#This Row],[Date]],"mmm")</f>
        <v>Feb</v>
      </c>
      <c r="D1182">
        <v>2024</v>
      </c>
      <c r="E1182" t="s">
        <v>1195</v>
      </c>
      <c r="F1182" t="s">
        <v>18</v>
      </c>
      <c r="G1182">
        <v>59</v>
      </c>
      <c r="H1182" t="s">
        <v>12</v>
      </c>
      <c r="I1182">
        <v>4</v>
      </c>
      <c r="J1182">
        <v>261</v>
      </c>
      <c r="K1182">
        <v>1044</v>
      </c>
      <c r="L11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83" spans="1:12" x14ac:dyDescent="0.3">
      <c r="A1183">
        <v>1182</v>
      </c>
      <c r="B1183" s="1">
        <v>45637</v>
      </c>
      <c r="C1183" s="1" t="str">
        <f>TEXT(RetailStore[[#This Row],[Date]],"mmm")</f>
        <v>Dec</v>
      </c>
      <c r="D1183">
        <v>2024</v>
      </c>
      <c r="E1183" t="s">
        <v>1196</v>
      </c>
      <c r="F1183" t="s">
        <v>11</v>
      </c>
      <c r="G1183">
        <v>64</v>
      </c>
      <c r="H1183" t="s">
        <v>12</v>
      </c>
      <c r="I1183">
        <v>2</v>
      </c>
      <c r="J1183">
        <v>291</v>
      </c>
      <c r="K1183">
        <v>582</v>
      </c>
      <c r="L11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84" spans="1:12" x14ac:dyDescent="0.3">
      <c r="A1184">
        <v>1183</v>
      </c>
      <c r="B1184" s="1">
        <v>45464</v>
      </c>
      <c r="C1184" s="1" t="str">
        <f>TEXT(RetailStore[[#This Row],[Date]],"mmm")</f>
        <v>Jun</v>
      </c>
      <c r="D1184">
        <v>2024</v>
      </c>
      <c r="E1184" t="s">
        <v>1197</v>
      </c>
      <c r="F1184" t="s">
        <v>11</v>
      </c>
      <c r="G1184">
        <v>38</v>
      </c>
      <c r="H1184" t="s">
        <v>12</v>
      </c>
      <c r="I1184">
        <v>1</v>
      </c>
      <c r="J1184">
        <v>369</v>
      </c>
      <c r="K1184">
        <v>369</v>
      </c>
      <c r="L11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85" spans="1:12" x14ac:dyDescent="0.3">
      <c r="A1185">
        <v>1184</v>
      </c>
      <c r="B1185" s="1">
        <v>45296</v>
      </c>
      <c r="C1185" s="1" t="str">
        <f>TEXT(RetailStore[[#This Row],[Date]],"mmm")</f>
        <v>Jan</v>
      </c>
      <c r="D1185">
        <v>2024</v>
      </c>
      <c r="E1185" t="s">
        <v>1198</v>
      </c>
      <c r="F1185" t="s">
        <v>11</v>
      </c>
      <c r="G1185">
        <v>18</v>
      </c>
      <c r="H1185" t="s">
        <v>20</v>
      </c>
      <c r="I1185">
        <v>1</v>
      </c>
      <c r="J1185">
        <v>293</v>
      </c>
      <c r="K1185">
        <v>293</v>
      </c>
      <c r="L11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86" spans="1:12" x14ac:dyDescent="0.3">
      <c r="A1186">
        <v>1185</v>
      </c>
      <c r="B1186" s="1">
        <v>45345</v>
      </c>
      <c r="C1186" s="1" t="str">
        <f>TEXT(RetailStore[[#This Row],[Date]],"mmm")</f>
        <v>Feb</v>
      </c>
      <c r="D1186">
        <v>2024</v>
      </c>
      <c r="E1186" t="s">
        <v>1199</v>
      </c>
      <c r="F1186" t="s">
        <v>18</v>
      </c>
      <c r="G1186">
        <v>40</v>
      </c>
      <c r="H1186" t="s">
        <v>15</v>
      </c>
      <c r="I1186">
        <v>3</v>
      </c>
      <c r="J1186">
        <v>153</v>
      </c>
      <c r="K1186">
        <v>459</v>
      </c>
      <c r="L11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87" spans="1:12" x14ac:dyDescent="0.3">
      <c r="A1187">
        <v>1186</v>
      </c>
      <c r="B1187" s="1">
        <v>45390</v>
      </c>
      <c r="C1187" s="1" t="str">
        <f>TEXT(RetailStore[[#This Row],[Date]],"mmm")</f>
        <v>Apr</v>
      </c>
      <c r="D1187">
        <v>2024</v>
      </c>
      <c r="E1187" t="s">
        <v>1200</v>
      </c>
      <c r="F1187" t="s">
        <v>11</v>
      </c>
      <c r="G1187">
        <v>19</v>
      </c>
      <c r="H1187" t="s">
        <v>12</v>
      </c>
      <c r="I1187">
        <v>1</v>
      </c>
      <c r="J1187">
        <v>54</v>
      </c>
      <c r="K1187">
        <v>54</v>
      </c>
      <c r="L11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88" spans="1:12" x14ac:dyDescent="0.3">
      <c r="A1188">
        <v>1187</v>
      </c>
      <c r="B1188" s="1">
        <v>45596</v>
      </c>
      <c r="C1188" s="1" t="str">
        <f>TEXT(RetailStore[[#This Row],[Date]],"mmm")</f>
        <v>Oct</v>
      </c>
      <c r="D1188">
        <v>2024</v>
      </c>
      <c r="E1188" t="s">
        <v>1201</v>
      </c>
      <c r="F1188" t="s">
        <v>11</v>
      </c>
      <c r="G1188">
        <v>56</v>
      </c>
      <c r="H1188" t="s">
        <v>12</v>
      </c>
      <c r="I1188">
        <v>1</v>
      </c>
      <c r="J1188">
        <v>387</v>
      </c>
      <c r="K1188">
        <v>387</v>
      </c>
      <c r="L11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189" spans="1:12" x14ac:dyDescent="0.3">
      <c r="A1189">
        <v>1188</v>
      </c>
      <c r="B1189" s="1">
        <v>45353</v>
      </c>
      <c r="C1189" s="1" t="str">
        <f>TEXT(RetailStore[[#This Row],[Date]],"mmm")</f>
        <v>Mar</v>
      </c>
      <c r="D1189">
        <v>2024</v>
      </c>
      <c r="E1189" t="s">
        <v>1202</v>
      </c>
      <c r="F1189" t="s">
        <v>11</v>
      </c>
      <c r="G1189">
        <v>56</v>
      </c>
      <c r="H1189" t="s">
        <v>15</v>
      </c>
      <c r="I1189">
        <v>4</v>
      </c>
      <c r="J1189">
        <v>361</v>
      </c>
      <c r="K1189">
        <v>1444</v>
      </c>
      <c r="L11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90" spans="1:12" x14ac:dyDescent="0.3">
      <c r="A1190">
        <v>1189</v>
      </c>
      <c r="B1190" s="1">
        <v>45623</v>
      </c>
      <c r="C1190" s="1" t="str">
        <f>TEXT(RetailStore[[#This Row],[Date]],"mmm")</f>
        <v>Nov</v>
      </c>
      <c r="D1190">
        <v>2024</v>
      </c>
      <c r="E1190" t="s">
        <v>1203</v>
      </c>
      <c r="F1190" t="s">
        <v>11</v>
      </c>
      <c r="G1190">
        <v>25</v>
      </c>
      <c r="H1190" t="s">
        <v>12</v>
      </c>
      <c r="I1190">
        <v>2</v>
      </c>
      <c r="J1190">
        <v>154</v>
      </c>
      <c r="K1190">
        <v>308</v>
      </c>
      <c r="L11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91" spans="1:12" x14ac:dyDescent="0.3">
      <c r="A1191">
        <v>1190</v>
      </c>
      <c r="B1191" s="1">
        <v>45442</v>
      </c>
      <c r="C1191" s="1" t="str">
        <f>TEXT(RetailStore[[#This Row],[Date]],"mmm")</f>
        <v>May</v>
      </c>
      <c r="D1191">
        <v>2024</v>
      </c>
      <c r="E1191" t="s">
        <v>1204</v>
      </c>
      <c r="F1191" t="s">
        <v>18</v>
      </c>
      <c r="G1191">
        <v>60</v>
      </c>
      <c r="H1191" t="s">
        <v>15</v>
      </c>
      <c r="I1191">
        <v>4</v>
      </c>
      <c r="J1191">
        <v>497</v>
      </c>
      <c r="K1191">
        <v>1988</v>
      </c>
      <c r="L11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92" spans="1:12" x14ac:dyDescent="0.3">
      <c r="A1192">
        <v>1191</v>
      </c>
      <c r="B1192" s="1">
        <v>45433</v>
      </c>
      <c r="C1192" s="1" t="str">
        <f>TEXT(RetailStore[[#This Row],[Date]],"mmm")</f>
        <v>May</v>
      </c>
      <c r="D1192">
        <v>2024</v>
      </c>
      <c r="E1192" t="s">
        <v>1205</v>
      </c>
      <c r="F1192" t="s">
        <v>18</v>
      </c>
      <c r="G1192">
        <v>62</v>
      </c>
      <c r="H1192" t="s">
        <v>12</v>
      </c>
      <c r="I1192">
        <v>3</v>
      </c>
      <c r="J1192">
        <v>156</v>
      </c>
      <c r="K1192">
        <v>468</v>
      </c>
      <c r="L11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93" spans="1:12" x14ac:dyDescent="0.3">
      <c r="A1193">
        <v>1192</v>
      </c>
      <c r="B1193" s="1">
        <v>45374</v>
      </c>
      <c r="C1193" s="1" t="str">
        <f>TEXT(RetailStore[[#This Row],[Date]],"mmm")</f>
        <v>Mar</v>
      </c>
      <c r="D1193">
        <v>2024</v>
      </c>
      <c r="E1193" t="s">
        <v>1206</v>
      </c>
      <c r="F1193" t="s">
        <v>11</v>
      </c>
      <c r="G1193">
        <v>35</v>
      </c>
      <c r="H1193" t="s">
        <v>15</v>
      </c>
      <c r="I1193">
        <v>4</v>
      </c>
      <c r="J1193">
        <v>223</v>
      </c>
      <c r="K1193">
        <v>892</v>
      </c>
      <c r="L11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94" spans="1:12" x14ac:dyDescent="0.3">
      <c r="A1194">
        <v>1193</v>
      </c>
      <c r="B1194" s="1">
        <v>45462</v>
      </c>
      <c r="C1194" s="1" t="str">
        <f>TEXT(RetailStore[[#This Row],[Date]],"mmm")</f>
        <v>Jun</v>
      </c>
      <c r="D1194">
        <v>2024</v>
      </c>
      <c r="E1194" t="s">
        <v>1207</v>
      </c>
      <c r="F1194" t="s">
        <v>11</v>
      </c>
      <c r="G1194">
        <v>34</v>
      </c>
      <c r="H1194" t="s">
        <v>20</v>
      </c>
      <c r="I1194">
        <v>2</v>
      </c>
      <c r="J1194">
        <v>250</v>
      </c>
      <c r="K1194">
        <v>500</v>
      </c>
      <c r="L11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195" spans="1:12" x14ac:dyDescent="0.3">
      <c r="A1195">
        <v>1194</v>
      </c>
      <c r="B1195" s="1">
        <v>45327</v>
      </c>
      <c r="C1195" s="1" t="str">
        <f>TEXT(RetailStore[[#This Row],[Date]],"mmm")</f>
        <v>Feb</v>
      </c>
      <c r="D1195">
        <v>2024</v>
      </c>
      <c r="E1195" t="s">
        <v>1208</v>
      </c>
      <c r="F1195" t="s">
        <v>18</v>
      </c>
      <c r="G1195">
        <v>30</v>
      </c>
      <c r="H1195" t="s">
        <v>12</v>
      </c>
      <c r="I1195">
        <v>4</v>
      </c>
      <c r="J1195">
        <v>116</v>
      </c>
      <c r="K1195">
        <v>464</v>
      </c>
      <c r="L11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96" spans="1:12" x14ac:dyDescent="0.3">
      <c r="A1196">
        <v>1195</v>
      </c>
      <c r="B1196" s="1">
        <v>45622</v>
      </c>
      <c r="C1196" s="1" t="str">
        <f>TEXT(RetailStore[[#This Row],[Date]],"mmm")</f>
        <v>Nov</v>
      </c>
      <c r="D1196">
        <v>2024</v>
      </c>
      <c r="E1196" t="s">
        <v>1209</v>
      </c>
      <c r="F1196" t="s">
        <v>18</v>
      </c>
      <c r="G1196">
        <v>24</v>
      </c>
      <c r="H1196" t="s">
        <v>15</v>
      </c>
      <c r="I1196">
        <v>4</v>
      </c>
      <c r="J1196">
        <v>136</v>
      </c>
      <c r="K1196">
        <v>544</v>
      </c>
      <c r="L11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97" spans="1:12" x14ac:dyDescent="0.3">
      <c r="A1197">
        <v>1196</v>
      </c>
      <c r="B1197" s="1">
        <v>45606</v>
      </c>
      <c r="C1197" s="1" t="str">
        <f>TEXT(RetailStore[[#This Row],[Date]],"mmm")</f>
        <v>Nov</v>
      </c>
      <c r="D1197">
        <v>2024</v>
      </c>
      <c r="E1197" t="s">
        <v>1210</v>
      </c>
      <c r="F1197" t="s">
        <v>11</v>
      </c>
      <c r="G1197">
        <v>46</v>
      </c>
      <c r="H1197" t="s">
        <v>12</v>
      </c>
      <c r="I1197">
        <v>3</v>
      </c>
      <c r="J1197">
        <v>77</v>
      </c>
      <c r="K1197">
        <v>231</v>
      </c>
      <c r="L11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98" spans="1:12" x14ac:dyDescent="0.3">
      <c r="A1198">
        <v>1197</v>
      </c>
      <c r="B1198" s="1">
        <v>45309</v>
      </c>
      <c r="C1198" s="1" t="str">
        <f>TEXT(RetailStore[[#This Row],[Date]],"mmm")</f>
        <v>Jan</v>
      </c>
      <c r="D1198">
        <v>2024</v>
      </c>
      <c r="E1198" t="s">
        <v>1211</v>
      </c>
      <c r="F1198" t="s">
        <v>11</v>
      </c>
      <c r="G1198">
        <v>22</v>
      </c>
      <c r="H1198" t="s">
        <v>12</v>
      </c>
      <c r="I1198">
        <v>3</v>
      </c>
      <c r="J1198">
        <v>422</v>
      </c>
      <c r="K1198">
        <v>1266</v>
      </c>
      <c r="L11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199" spans="1:12" x14ac:dyDescent="0.3">
      <c r="A1199">
        <v>1198</v>
      </c>
      <c r="B1199" s="1">
        <v>45520</v>
      </c>
      <c r="C1199" s="1" t="str">
        <f>TEXT(RetailStore[[#This Row],[Date]],"mmm")</f>
        <v>Aug</v>
      </c>
      <c r="D1199">
        <v>2024</v>
      </c>
      <c r="E1199" t="s">
        <v>1212</v>
      </c>
      <c r="F1199" t="s">
        <v>11</v>
      </c>
      <c r="G1199">
        <v>49</v>
      </c>
      <c r="H1199" t="s">
        <v>15</v>
      </c>
      <c r="I1199">
        <v>1</v>
      </c>
      <c r="J1199">
        <v>44</v>
      </c>
      <c r="K1199">
        <v>44</v>
      </c>
      <c r="L11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00" spans="1:12" x14ac:dyDescent="0.3">
      <c r="A1200">
        <v>1199</v>
      </c>
      <c r="B1200" s="1">
        <v>45632</v>
      </c>
      <c r="C1200" s="1" t="str">
        <f>TEXT(RetailStore[[#This Row],[Date]],"mmm")</f>
        <v>Dec</v>
      </c>
      <c r="D1200">
        <v>2024</v>
      </c>
      <c r="E1200" t="s">
        <v>1213</v>
      </c>
      <c r="F1200" t="s">
        <v>18</v>
      </c>
      <c r="G1200">
        <v>35</v>
      </c>
      <c r="H1200" t="s">
        <v>15</v>
      </c>
      <c r="I1200">
        <v>3</v>
      </c>
      <c r="J1200">
        <v>488</v>
      </c>
      <c r="K1200">
        <v>1464</v>
      </c>
      <c r="L12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01" spans="1:12" x14ac:dyDescent="0.3">
      <c r="A1201">
        <v>1200</v>
      </c>
      <c r="B1201" s="1">
        <v>45492</v>
      </c>
      <c r="C1201" s="1" t="str">
        <f>TEXT(RetailStore[[#This Row],[Date]],"mmm")</f>
        <v>Jul</v>
      </c>
      <c r="D1201">
        <v>2024</v>
      </c>
      <c r="E1201" t="s">
        <v>1214</v>
      </c>
      <c r="F1201" t="s">
        <v>11</v>
      </c>
      <c r="G1201">
        <v>50</v>
      </c>
      <c r="H1201" t="s">
        <v>12</v>
      </c>
      <c r="I1201">
        <v>4</v>
      </c>
      <c r="J1201">
        <v>269</v>
      </c>
      <c r="K1201">
        <v>1076</v>
      </c>
      <c r="L12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02" spans="1:12" x14ac:dyDescent="0.3">
      <c r="A1202">
        <v>1201</v>
      </c>
      <c r="B1202" s="1">
        <v>45515</v>
      </c>
      <c r="C1202" s="1" t="str">
        <f>TEXT(RetailStore[[#This Row],[Date]],"mmm")</f>
        <v>Aug</v>
      </c>
      <c r="D1202">
        <v>2024</v>
      </c>
      <c r="E1202" t="s">
        <v>1215</v>
      </c>
      <c r="F1202" t="s">
        <v>18</v>
      </c>
      <c r="G1202">
        <v>64</v>
      </c>
      <c r="H1202" t="s">
        <v>15</v>
      </c>
      <c r="I1202">
        <v>2</v>
      </c>
      <c r="J1202">
        <v>26</v>
      </c>
      <c r="K1202">
        <v>52</v>
      </c>
      <c r="L12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03" spans="1:12" x14ac:dyDescent="0.3">
      <c r="A1203">
        <v>1202</v>
      </c>
      <c r="B1203" s="1">
        <v>45488</v>
      </c>
      <c r="C1203" s="1" t="str">
        <f>TEXT(RetailStore[[#This Row],[Date]],"mmm")</f>
        <v>Jul</v>
      </c>
      <c r="D1203">
        <v>2024</v>
      </c>
      <c r="E1203" t="s">
        <v>1216</v>
      </c>
      <c r="F1203" t="s">
        <v>18</v>
      </c>
      <c r="G1203">
        <v>25</v>
      </c>
      <c r="H1203" t="s">
        <v>12</v>
      </c>
      <c r="I1203">
        <v>3</v>
      </c>
      <c r="J1203">
        <v>195</v>
      </c>
      <c r="K1203">
        <v>585</v>
      </c>
      <c r="L12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04" spans="1:12" x14ac:dyDescent="0.3">
      <c r="A1204">
        <v>1203</v>
      </c>
      <c r="B1204" s="1">
        <v>45641</v>
      </c>
      <c r="C1204" s="1" t="str">
        <f>TEXT(RetailStore[[#This Row],[Date]],"mmm")</f>
        <v>Dec</v>
      </c>
      <c r="D1204">
        <v>2024</v>
      </c>
      <c r="E1204" t="s">
        <v>1217</v>
      </c>
      <c r="F1204" t="s">
        <v>18</v>
      </c>
      <c r="G1204">
        <v>43</v>
      </c>
      <c r="H1204" t="s">
        <v>15</v>
      </c>
      <c r="I1204">
        <v>1</v>
      </c>
      <c r="J1204">
        <v>212</v>
      </c>
      <c r="K1204">
        <v>212</v>
      </c>
      <c r="L12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05" spans="1:12" x14ac:dyDescent="0.3">
      <c r="A1205">
        <v>1204</v>
      </c>
      <c r="B1205" s="1">
        <v>45565</v>
      </c>
      <c r="C1205" s="1" t="str">
        <f>TEXT(RetailStore[[#This Row],[Date]],"mmm")</f>
        <v>Sep</v>
      </c>
      <c r="D1205">
        <v>2024</v>
      </c>
      <c r="E1205" t="s">
        <v>1218</v>
      </c>
      <c r="F1205" t="s">
        <v>18</v>
      </c>
      <c r="G1205">
        <v>23</v>
      </c>
      <c r="H1205" t="s">
        <v>20</v>
      </c>
      <c r="I1205">
        <v>3</v>
      </c>
      <c r="J1205">
        <v>356</v>
      </c>
      <c r="K1205">
        <v>1068</v>
      </c>
      <c r="L12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06" spans="1:12" x14ac:dyDescent="0.3">
      <c r="A1206">
        <v>1205</v>
      </c>
      <c r="B1206" s="1">
        <v>45395</v>
      </c>
      <c r="C1206" s="1" t="str">
        <f>TEXT(RetailStore[[#This Row],[Date]],"mmm")</f>
        <v>Apr</v>
      </c>
      <c r="D1206">
        <v>2024</v>
      </c>
      <c r="E1206" t="s">
        <v>1219</v>
      </c>
      <c r="F1206" t="s">
        <v>11</v>
      </c>
      <c r="G1206">
        <v>53</v>
      </c>
      <c r="H1206" t="s">
        <v>15</v>
      </c>
      <c r="I1206">
        <v>4</v>
      </c>
      <c r="J1206">
        <v>363</v>
      </c>
      <c r="K1206">
        <v>1452</v>
      </c>
      <c r="L12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07" spans="1:12" x14ac:dyDescent="0.3">
      <c r="A1207">
        <v>1206</v>
      </c>
      <c r="B1207" s="1">
        <v>45389</v>
      </c>
      <c r="C1207" s="1" t="str">
        <f>TEXT(RetailStore[[#This Row],[Date]],"mmm")</f>
        <v>Apr</v>
      </c>
      <c r="D1207">
        <v>2024</v>
      </c>
      <c r="E1207" t="s">
        <v>1220</v>
      </c>
      <c r="F1207" t="s">
        <v>18</v>
      </c>
      <c r="G1207">
        <v>62</v>
      </c>
      <c r="H1207" t="s">
        <v>20</v>
      </c>
      <c r="I1207">
        <v>1</v>
      </c>
      <c r="J1207">
        <v>347</v>
      </c>
      <c r="K1207">
        <v>347</v>
      </c>
      <c r="L12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08" spans="1:12" x14ac:dyDescent="0.3">
      <c r="A1208">
        <v>1207</v>
      </c>
      <c r="B1208" s="1">
        <v>45644</v>
      </c>
      <c r="C1208" s="1" t="str">
        <f>TEXT(RetailStore[[#This Row],[Date]],"mmm")</f>
        <v>Dec</v>
      </c>
      <c r="D1208">
        <v>2024</v>
      </c>
      <c r="E1208" t="s">
        <v>1221</v>
      </c>
      <c r="F1208" t="s">
        <v>18</v>
      </c>
      <c r="G1208">
        <v>49</v>
      </c>
      <c r="H1208" t="s">
        <v>15</v>
      </c>
      <c r="I1208">
        <v>4</v>
      </c>
      <c r="J1208">
        <v>401</v>
      </c>
      <c r="K1208">
        <v>1604</v>
      </c>
      <c r="L12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09" spans="1:12" x14ac:dyDescent="0.3">
      <c r="A1209">
        <v>1208</v>
      </c>
      <c r="B1209" s="1">
        <v>45389</v>
      </c>
      <c r="C1209" s="1" t="str">
        <f>TEXT(RetailStore[[#This Row],[Date]],"mmm")</f>
        <v>Apr</v>
      </c>
      <c r="D1209">
        <v>2024</v>
      </c>
      <c r="E1209" t="s">
        <v>1222</v>
      </c>
      <c r="F1209" t="s">
        <v>11</v>
      </c>
      <c r="G1209">
        <v>20</v>
      </c>
      <c r="H1209" t="s">
        <v>15</v>
      </c>
      <c r="I1209">
        <v>1</v>
      </c>
      <c r="J1209">
        <v>393</v>
      </c>
      <c r="K1209">
        <v>393</v>
      </c>
      <c r="L12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10" spans="1:12" x14ac:dyDescent="0.3">
      <c r="A1210">
        <v>1209</v>
      </c>
      <c r="B1210" s="1">
        <v>45595</v>
      </c>
      <c r="C1210" s="1" t="str">
        <f>TEXT(RetailStore[[#This Row],[Date]],"mmm")</f>
        <v>Oct</v>
      </c>
      <c r="D1210">
        <v>2024</v>
      </c>
      <c r="E1210" t="s">
        <v>1223</v>
      </c>
      <c r="F1210" t="s">
        <v>11</v>
      </c>
      <c r="G1210">
        <v>49</v>
      </c>
      <c r="H1210" t="s">
        <v>20</v>
      </c>
      <c r="I1210">
        <v>1</v>
      </c>
      <c r="J1210">
        <v>430</v>
      </c>
      <c r="K1210">
        <v>430</v>
      </c>
      <c r="L12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11" spans="1:12" x14ac:dyDescent="0.3">
      <c r="A1211">
        <v>1210</v>
      </c>
      <c r="B1211" s="1">
        <v>45568</v>
      </c>
      <c r="C1211" s="1" t="str">
        <f>TEXT(RetailStore[[#This Row],[Date]],"mmm")</f>
        <v>Oct</v>
      </c>
      <c r="D1211">
        <v>2024</v>
      </c>
      <c r="E1211" t="s">
        <v>1224</v>
      </c>
      <c r="F1211" t="s">
        <v>18</v>
      </c>
      <c r="G1211">
        <v>49</v>
      </c>
      <c r="H1211" t="s">
        <v>12</v>
      </c>
      <c r="I1211">
        <v>4</v>
      </c>
      <c r="J1211">
        <v>33</v>
      </c>
      <c r="K1211">
        <v>132</v>
      </c>
      <c r="L12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12" spans="1:12" x14ac:dyDescent="0.3">
      <c r="A1212">
        <v>1211</v>
      </c>
      <c r="B1212" s="1">
        <v>45310</v>
      </c>
      <c r="C1212" s="1" t="str">
        <f>TEXT(RetailStore[[#This Row],[Date]],"mmm")</f>
        <v>Jan</v>
      </c>
      <c r="D1212">
        <v>2024</v>
      </c>
      <c r="E1212" t="s">
        <v>1225</v>
      </c>
      <c r="F1212" t="s">
        <v>18</v>
      </c>
      <c r="G1212">
        <v>21</v>
      </c>
      <c r="H1212" t="s">
        <v>20</v>
      </c>
      <c r="I1212">
        <v>1</v>
      </c>
      <c r="J1212">
        <v>232</v>
      </c>
      <c r="K1212">
        <v>232</v>
      </c>
      <c r="L12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13" spans="1:12" x14ac:dyDescent="0.3">
      <c r="A1213">
        <v>1212</v>
      </c>
      <c r="B1213" s="1">
        <v>45352</v>
      </c>
      <c r="C1213" s="1" t="str">
        <f>TEXT(RetailStore[[#This Row],[Date]],"mmm")</f>
        <v>Mar</v>
      </c>
      <c r="D1213">
        <v>2024</v>
      </c>
      <c r="E1213" t="s">
        <v>1226</v>
      </c>
      <c r="F1213" t="s">
        <v>11</v>
      </c>
      <c r="G1213">
        <v>59</v>
      </c>
      <c r="H1213" t="s">
        <v>12</v>
      </c>
      <c r="I1213">
        <v>4</v>
      </c>
      <c r="J1213">
        <v>372</v>
      </c>
      <c r="K1213">
        <v>1488</v>
      </c>
      <c r="L12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14" spans="1:12" x14ac:dyDescent="0.3">
      <c r="A1214">
        <v>1213</v>
      </c>
      <c r="B1214" s="1">
        <v>45566</v>
      </c>
      <c r="C1214" s="1" t="str">
        <f>TEXT(RetailStore[[#This Row],[Date]],"mmm")</f>
        <v>Oct</v>
      </c>
      <c r="D1214">
        <v>2024</v>
      </c>
      <c r="E1214" t="s">
        <v>1227</v>
      </c>
      <c r="F1214" t="s">
        <v>11</v>
      </c>
      <c r="G1214">
        <v>55</v>
      </c>
      <c r="H1214" t="s">
        <v>15</v>
      </c>
      <c r="I1214">
        <v>1</v>
      </c>
      <c r="J1214">
        <v>43</v>
      </c>
      <c r="K1214">
        <v>43</v>
      </c>
      <c r="L12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15" spans="1:12" x14ac:dyDescent="0.3">
      <c r="A1215">
        <v>1214</v>
      </c>
      <c r="B1215" s="1">
        <v>45364</v>
      </c>
      <c r="C1215" s="1" t="str">
        <f>TEXT(RetailStore[[#This Row],[Date]],"mmm")</f>
        <v>Mar</v>
      </c>
      <c r="D1215">
        <v>2024</v>
      </c>
      <c r="E1215" t="s">
        <v>1228</v>
      </c>
      <c r="F1215" t="s">
        <v>18</v>
      </c>
      <c r="G1215">
        <v>59</v>
      </c>
      <c r="H1215" t="s">
        <v>15</v>
      </c>
      <c r="I1215">
        <v>4</v>
      </c>
      <c r="J1215">
        <v>489</v>
      </c>
      <c r="K1215">
        <v>1956</v>
      </c>
      <c r="L12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16" spans="1:12" x14ac:dyDescent="0.3">
      <c r="A1216">
        <v>1215</v>
      </c>
      <c r="B1216" s="1">
        <v>45608</v>
      </c>
      <c r="C1216" s="1" t="str">
        <f>TEXT(RetailStore[[#This Row],[Date]],"mmm")</f>
        <v>Nov</v>
      </c>
      <c r="D1216">
        <v>2024</v>
      </c>
      <c r="E1216" t="s">
        <v>1229</v>
      </c>
      <c r="F1216" t="s">
        <v>11</v>
      </c>
      <c r="G1216">
        <v>33</v>
      </c>
      <c r="H1216" t="s">
        <v>12</v>
      </c>
      <c r="I1216">
        <v>2</v>
      </c>
      <c r="J1216">
        <v>32</v>
      </c>
      <c r="K1216">
        <v>64</v>
      </c>
      <c r="L12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17" spans="1:12" x14ac:dyDescent="0.3">
      <c r="A1217">
        <v>1216</v>
      </c>
      <c r="B1217" s="1">
        <v>45380</v>
      </c>
      <c r="C1217" s="1" t="str">
        <f>TEXT(RetailStore[[#This Row],[Date]],"mmm")</f>
        <v>Mar</v>
      </c>
      <c r="D1217">
        <v>2024</v>
      </c>
      <c r="E1217" t="s">
        <v>1230</v>
      </c>
      <c r="F1217" t="s">
        <v>11</v>
      </c>
      <c r="G1217">
        <v>37</v>
      </c>
      <c r="H1217" t="s">
        <v>15</v>
      </c>
      <c r="I1217">
        <v>4</v>
      </c>
      <c r="J1217">
        <v>337</v>
      </c>
      <c r="K1217">
        <v>1348</v>
      </c>
      <c r="L12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18" spans="1:12" x14ac:dyDescent="0.3">
      <c r="A1218">
        <v>1217</v>
      </c>
      <c r="B1218" s="1">
        <v>45379</v>
      </c>
      <c r="C1218" s="1" t="str">
        <f>TEXT(RetailStore[[#This Row],[Date]],"mmm")</f>
        <v>Mar</v>
      </c>
      <c r="D1218">
        <v>2024</v>
      </c>
      <c r="E1218" t="s">
        <v>1231</v>
      </c>
      <c r="F1218" t="s">
        <v>11</v>
      </c>
      <c r="G1218">
        <v>24</v>
      </c>
      <c r="H1218" t="s">
        <v>15</v>
      </c>
      <c r="I1218">
        <v>4</v>
      </c>
      <c r="J1218">
        <v>329</v>
      </c>
      <c r="K1218">
        <v>1316</v>
      </c>
      <c r="L12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19" spans="1:12" x14ac:dyDescent="0.3">
      <c r="A1219">
        <v>1218</v>
      </c>
      <c r="B1219" s="1">
        <v>45607</v>
      </c>
      <c r="C1219" s="1" t="str">
        <f>TEXT(RetailStore[[#This Row],[Date]],"mmm")</f>
        <v>Nov</v>
      </c>
      <c r="D1219">
        <v>2024</v>
      </c>
      <c r="E1219" t="s">
        <v>1232</v>
      </c>
      <c r="F1219" t="s">
        <v>11</v>
      </c>
      <c r="G1219">
        <v>22</v>
      </c>
      <c r="H1219" t="s">
        <v>15</v>
      </c>
      <c r="I1219">
        <v>4</v>
      </c>
      <c r="J1219">
        <v>197</v>
      </c>
      <c r="K1219">
        <v>788</v>
      </c>
      <c r="L12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20" spans="1:12" x14ac:dyDescent="0.3">
      <c r="A1220">
        <v>1219</v>
      </c>
      <c r="B1220" s="1">
        <v>45639</v>
      </c>
      <c r="C1220" s="1" t="str">
        <f>TEXT(RetailStore[[#This Row],[Date]],"mmm")</f>
        <v>Dec</v>
      </c>
      <c r="D1220">
        <v>2024</v>
      </c>
      <c r="E1220" t="s">
        <v>1233</v>
      </c>
      <c r="F1220" t="s">
        <v>18</v>
      </c>
      <c r="G1220">
        <v>38</v>
      </c>
      <c r="H1220" t="s">
        <v>15</v>
      </c>
      <c r="I1220">
        <v>2</v>
      </c>
      <c r="J1220">
        <v>189</v>
      </c>
      <c r="K1220">
        <v>378</v>
      </c>
      <c r="L12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21" spans="1:12" x14ac:dyDescent="0.3">
      <c r="A1221">
        <v>1220</v>
      </c>
      <c r="B1221" s="1">
        <v>45401</v>
      </c>
      <c r="C1221" s="1" t="str">
        <f>TEXT(RetailStore[[#This Row],[Date]],"mmm")</f>
        <v>Apr</v>
      </c>
      <c r="D1221">
        <v>2024</v>
      </c>
      <c r="E1221" t="s">
        <v>1234</v>
      </c>
      <c r="F1221" t="s">
        <v>11</v>
      </c>
      <c r="G1221">
        <v>55</v>
      </c>
      <c r="H1221" t="s">
        <v>15</v>
      </c>
      <c r="I1221">
        <v>3</v>
      </c>
      <c r="J1221">
        <v>57</v>
      </c>
      <c r="K1221">
        <v>171</v>
      </c>
      <c r="L12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22" spans="1:12" x14ac:dyDescent="0.3">
      <c r="A1222">
        <v>1221</v>
      </c>
      <c r="B1222" s="1">
        <v>45353</v>
      </c>
      <c r="C1222" s="1" t="str">
        <f>TEXT(RetailStore[[#This Row],[Date]],"mmm")</f>
        <v>Mar</v>
      </c>
      <c r="D1222">
        <v>2024</v>
      </c>
      <c r="E1222" t="s">
        <v>1235</v>
      </c>
      <c r="F1222" t="s">
        <v>18</v>
      </c>
      <c r="G1222">
        <v>27</v>
      </c>
      <c r="H1222" t="s">
        <v>20</v>
      </c>
      <c r="I1222">
        <v>2</v>
      </c>
      <c r="J1222">
        <v>381</v>
      </c>
      <c r="K1222">
        <v>762</v>
      </c>
      <c r="L12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23" spans="1:12" x14ac:dyDescent="0.3">
      <c r="A1223">
        <v>1222</v>
      </c>
      <c r="B1223" s="1">
        <v>45481</v>
      </c>
      <c r="C1223" s="1" t="str">
        <f>TEXT(RetailStore[[#This Row],[Date]],"mmm")</f>
        <v>Jul</v>
      </c>
      <c r="D1223">
        <v>2024</v>
      </c>
      <c r="E1223" t="s">
        <v>1236</v>
      </c>
      <c r="F1223" t="s">
        <v>11</v>
      </c>
      <c r="G1223">
        <v>46</v>
      </c>
      <c r="H1223" t="s">
        <v>15</v>
      </c>
      <c r="I1223">
        <v>1</v>
      </c>
      <c r="J1223">
        <v>93</v>
      </c>
      <c r="K1223">
        <v>93</v>
      </c>
      <c r="L12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24" spans="1:12" x14ac:dyDescent="0.3">
      <c r="A1224">
        <v>1223</v>
      </c>
      <c r="B1224" s="1">
        <v>45343</v>
      </c>
      <c r="C1224" s="1" t="str">
        <f>TEXT(RetailStore[[#This Row],[Date]],"mmm")</f>
        <v>Feb</v>
      </c>
      <c r="D1224">
        <v>2024</v>
      </c>
      <c r="E1224" t="s">
        <v>1237</v>
      </c>
      <c r="F1224" t="s">
        <v>18</v>
      </c>
      <c r="G1224">
        <v>28</v>
      </c>
      <c r="H1224" t="s">
        <v>15</v>
      </c>
      <c r="I1224">
        <v>4</v>
      </c>
      <c r="J1224">
        <v>66</v>
      </c>
      <c r="K1224">
        <v>264</v>
      </c>
      <c r="L12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25" spans="1:12" x14ac:dyDescent="0.3">
      <c r="A1225">
        <v>1224</v>
      </c>
      <c r="B1225" s="1">
        <v>45295</v>
      </c>
      <c r="C1225" s="1" t="str">
        <f>TEXT(RetailStore[[#This Row],[Date]],"mmm")</f>
        <v>Jan</v>
      </c>
      <c r="D1225">
        <v>2024</v>
      </c>
      <c r="E1225" t="s">
        <v>1238</v>
      </c>
      <c r="F1225" t="s">
        <v>11</v>
      </c>
      <c r="G1225">
        <v>29</v>
      </c>
      <c r="H1225" t="s">
        <v>15</v>
      </c>
      <c r="I1225">
        <v>3</v>
      </c>
      <c r="J1225">
        <v>238</v>
      </c>
      <c r="K1225">
        <v>714</v>
      </c>
      <c r="L12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26" spans="1:12" x14ac:dyDescent="0.3">
      <c r="A1226">
        <v>1225</v>
      </c>
      <c r="B1226" s="1">
        <v>45647</v>
      </c>
      <c r="C1226" s="1" t="str">
        <f>TEXT(RetailStore[[#This Row],[Date]],"mmm")</f>
        <v>Dec</v>
      </c>
      <c r="D1226">
        <v>2024</v>
      </c>
      <c r="E1226" t="s">
        <v>1239</v>
      </c>
      <c r="F1226" t="s">
        <v>18</v>
      </c>
      <c r="G1226">
        <v>62</v>
      </c>
      <c r="H1226" t="s">
        <v>15</v>
      </c>
      <c r="I1226">
        <v>2</v>
      </c>
      <c r="J1226">
        <v>98</v>
      </c>
      <c r="K1226">
        <v>196</v>
      </c>
      <c r="L12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27" spans="1:12" x14ac:dyDescent="0.3">
      <c r="A1227">
        <v>1226</v>
      </c>
      <c r="B1227" s="1">
        <v>45619</v>
      </c>
      <c r="C1227" s="1" t="str">
        <f>TEXT(RetailStore[[#This Row],[Date]],"mmm")</f>
        <v>Nov</v>
      </c>
      <c r="D1227">
        <v>2024</v>
      </c>
      <c r="E1227" t="s">
        <v>1240</v>
      </c>
      <c r="F1227" t="s">
        <v>18</v>
      </c>
      <c r="G1227">
        <v>51</v>
      </c>
      <c r="H1227" t="s">
        <v>20</v>
      </c>
      <c r="I1227">
        <v>4</v>
      </c>
      <c r="J1227">
        <v>147</v>
      </c>
      <c r="K1227">
        <v>588</v>
      </c>
      <c r="L12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28" spans="1:12" x14ac:dyDescent="0.3">
      <c r="A1228">
        <v>1227</v>
      </c>
      <c r="B1228" s="1">
        <v>45381</v>
      </c>
      <c r="C1228" s="1" t="str">
        <f>TEXT(RetailStore[[#This Row],[Date]],"mmm")</f>
        <v>Mar</v>
      </c>
      <c r="D1228">
        <v>2024</v>
      </c>
      <c r="E1228" t="s">
        <v>1241</v>
      </c>
      <c r="F1228" t="s">
        <v>11</v>
      </c>
      <c r="G1228">
        <v>56</v>
      </c>
      <c r="H1228" t="s">
        <v>15</v>
      </c>
      <c r="I1228">
        <v>4</v>
      </c>
      <c r="J1228">
        <v>338</v>
      </c>
      <c r="K1228">
        <v>1352</v>
      </c>
      <c r="L12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29" spans="1:12" x14ac:dyDescent="0.3">
      <c r="A1229">
        <v>1228</v>
      </c>
      <c r="B1229" s="1">
        <v>45337</v>
      </c>
      <c r="C1229" s="1" t="str">
        <f>TEXT(RetailStore[[#This Row],[Date]],"mmm")</f>
        <v>Feb</v>
      </c>
      <c r="D1229">
        <v>2024</v>
      </c>
      <c r="E1229" t="s">
        <v>1242</v>
      </c>
      <c r="F1229" t="s">
        <v>18</v>
      </c>
      <c r="G1229">
        <v>40</v>
      </c>
      <c r="H1229" t="s">
        <v>20</v>
      </c>
      <c r="I1229">
        <v>1</v>
      </c>
      <c r="J1229">
        <v>310</v>
      </c>
      <c r="K1229">
        <v>310</v>
      </c>
      <c r="L12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30" spans="1:12" x14ac:dyDescent="0.3">
      <c r="A1230">
        <v>1229</v>
      </c>
      <c r="B1230" s="1">
        <v>45412</v>
      </c>
      <c r="C1230" s="1" t="str">
        <f>TEXT(RetailStore[[#This Row],[Date]],"mmm")</f>
        <v>Apr</v>
      </c>
      <c r="D1230">
        <v>2024</v>
      </c>
      <c r="E1230" t="s">
        <v>1243</v>
      </c>
      <c r="F1230" t="s">
        <v>11</v>
      </c>
      <c r="G1230">
        <v>25</v>
      </c>
      <c r="H1230" t="s">
        <v>12</v>
      </c>
      <c r="I1230">
        <v>1</v>
      </c>
      <c r="J1230">
        <v>341</v>
      </c>
      <c r="K1230">
        <v>341</v>
      </c>
      <c r="L12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31" spans="1:12" x14ac:dyDescent="0.3">
      <c r="A1231">
        <v>1230</v>
      </c>
      <c r="B1231" s="1">
        <v>45477</v>
      </c>
      <c r="C1231" s="1" t="str">
        <f>TEXT(RetailStore[[#This Row],[Date]],"mmm")</f>
        <v>Jul</v>
      </c>
      <c r="D1231">
        <v>2024</v>
      </c>
      <c r="E1231" t="s">
        <v>1244</v>
      </c>
      <c r="F1231" t="s">
        <v>11</v>
      </c>
      <c r="G1231">
        <v>47</v>
      </c>
      <c r="H1231" t="s">
        <v>12</v>
      </c>
      <c r="I1231">
        <v>2</v>
      </c>
      <c r="J1231">
        <v>166</v>
      </c>
      <c r="K1231">
        <v>332</v>
      </c>
      <c r="L12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32" spans="1:12" x14ac:dyDescent="0.3">
      <c r="A1232">
        <v>1231</v>
      </c>
      <c r="B1232" s="1">
        <v>45319</v>
      </c>
      <c r="C1232" s="1" t="str">
        <f>TEXT(RetailStore[[#This Row],[Date]],"mmm")</f>
        <v>Jan</v>
      </c>
      <c r="D1232">
        <v>2024</v>
      </c>
      <c r="E1232" t="s">
        <v>1245</v>
      </c>
      <c r="F1232" t="s">
        <v>11</v>
      </c>
      <c r="G1232">
        <v>25</v>
      </c>
      <c r="H1232" t="s">
        <v>15</v>
      </c>
      <c r="I1232">
        <v>4</v>
      </c>
      <c r="J1232">
        <v>279</v>
      </c>
      <c r="K1232">
        <v>1116</v>
      </c>
      <c r="L12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33" spans="1:12" x14ac:dyDescent="0.3">
      <c r="A1233">
        <v>1232</v>
      </c>
      <c r="B1233" s="1">
        <v>45382</v>
      </c>
      <c r="C1233" s="1" t="str">
        <f>TEXT(RetailStore[[#This Row],[Date]],"mmm")</f>
        <v>Mar</v>
      </c>
      <c r="D1233">
        <v>2024</v>
      </c>
      <c r="E1233" t="s">
        <v>1246</v>
      </c>
      <c r="F1233" t="s">
        <v>11</v>
      </c>
      <c r="G1233">
        <v>60</v>
      </c>
      <c r="H1233" t="s">
        <v>15</v>
      </c>
      <c r="I1233">
        <v>1</v>
      </c>
      <c r="J1233">
        <v>355</v>
      </c>
      <c r="K1233">
        <v>355</v>
      </c>
      <c r="L12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34" spans="1:12" x14ac:dyDescent="0.3">
      <c r="A1234">
        <v>1233</v>
      </c>
      <c r="B1234" s="1">
        <v>45478</v>
      </c>
      <c r="C1234" s="1" t="str">
        <f>TEXT(RetailStore[[#This Row],[Date]],"mmm")</f>
        <v>Jul</v>
      </c>
      <c r="D1234">
        <v>2024</v>
      </c>
      <c r="E1234" t="s">
        <v>1247</v>
      </c>
      <c r="F1234" t="s">
        <v>18</v>
      </c>
      <c r="G1234">
        <v>31</v>
      </c>
      <c r="H1234" t="s">
        <v>20</v>
      </c>
      <c r="I1234">
        <v>3</v>
      </c>
      <c r="J1234">
        <v>196</v>
      </c>
      <c r="K1234">
        <v>588</v>
      </c>
      <c r="L12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35" spans="1:12" x14ac:dyDescent="0.3">
      <c r="A1235">
        <v>1234</v>
      </c>
      <c r="B1235" s="1">
        <v>45607</v>
      </c>
      <c r="C1235" s="1" t="str">
        <f>TEXT(RetailStore[[#This Row],[Date]],"mmm")</f>
        <v>Nov</v>
      </c>
      <c r="D1235">
        <v>2024</v>
      </c>
      <c r="E1235" t="s">
        <v>1248</v>
      </c>
      <c r="F1235" t="s">
        <v>18</v>
      </c>
      <c r="G1235">
        <v>20</v>
      </c>
      <c r="H1235" t="s">
        <v>15</v>
      </c>
      <c r="I1235">
        <v>1</v>
      </c>
      <c r="J1235">
        <v>498</v>
      </c>
      <c r="K1235">
        <v>498</v>
      </c>
      <c r="L12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36" spans="1:12" x14ac:dyDescent="0.3">
      <c r="A1236">
        <v>1235</v>
      </c>
      <c r="B1236" s="1">
        <v>45567</v>
      </c>
      <c r="C1236" s="1" t="str">
        <f>TEXT(RetailStore[[#This Row],[Date]],"mmm")</f>
        <v>Oct</v>
      </c>
      <c r="D1236">
        <v>2024</v>
      </c>
      <c r="E1236" t="s">
        <v>1249</v>
      </c>
      <c r="F1236" t="s">
        <v>11</v>
      </c>
      <c r="G1236">
        <v>28</v>
      </c>
      <c r="H1236" t="s">
        <v>15</v>
      </c>
      <c r="I1236">
        <v>4</v>
      </c>
      <c r="J1236">
        <v>288</v>
      </c>
      <c r="K1236">
        <v>1152</v>
      </c>
      <c r="L12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37" spans="1:12" x14ac:dyDescent="0.3">
      <c r="A1237">
        <v>1236</v>
      </c>
      <c r="B1237" s="1">
        <v>45351</v>
      </c>
      <c r="C1237" s="1" t="str">
        <f>TEXT(RetailStore[[#This Row],[Date]],"mmm")</f>
        <v>Feb</v>
      </c>
      <c r="D1237">
        <v>2024</v>
      </c>
      <c r="E1237" t="s">
        <v>1250</v>
      </c>
      <c r="F1237" t="s">
        <v>11</v>
      </c>
      <c r="G1237">
        <v>33</v>
      </c>
      <c r="H1237" t="s">
        <v>12</v>
      </c>
      <c r="I1237">
        <v>4</v>
      </c>
      <c r="J1237">
        <v>328</v>
      </c>
      <c r="K1237">
        <v>1312</v>
      </c>
      <c r="L12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38" spans="1:12" x14ac:dyDescent="0.3">
      <c r="A1238">
        <v>1237</v>
      </c>
      <c r="B1238" s="1">
        <v>45588</v>
      </c>
      <c r="C1238" s="1" t="str">
        <f>TEXT(RetailStore[[#This Row],[Date]],"mmm")</f>
        <v>Oct</v>
      </c>
      <c r="D1238">
        <v>2024</v>
      </c>
      <c r="E1238" t="s">
        <v>1251</v>
      </c>
      <c r="F1238" t="s">
        <v>18</v>
      </c>
      <c r="G1238">
        <v>44</v>
      </c>
      <c r="H1238" t="s">
        <v>15</v>
      </c>
      <c r="I1238">
        <v>3</v>
      </c>
      <c r="J1238">
        <v>142</v>
      </c>
      <c r="K1238">
        <v>426</v>
      </c>
      <c r="L12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39" spans="1:12" x14ac:dyDescent="0.3">
      <c r="A1239">
        <v>1238</v>
      </c>
      <c r="B1239" s="1">
        <v>45348</v>
      </c>
      <c r="C1239" s="1" t="str">
        <f>TEXT(RetailStore[[#This Row],[Date]],"mmm")</f>
        <v>Feb</v>
      </c>
      <c r="D1239">
        <v>2024</v>
      </c>
      <c r="E1239" t="s">
        <v>1252</v>
      </c>
      <c r="F1239" t="s">
        <v>18</v>
      </c>
      <c r="G1239">
        <v>32</v>
      </c>
      <c r="H1239" t="s">
        <v>15</v>
      </c>
      <c r="I1239">
        <v>2</v>
      </c>
      <c r="J1239">
        <v>402</v>
      </c>
      <c r="K1239">
        <v>804</v>
      </c>
      <c r="L12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40" spans="1:12" x14ac:dyDescent="0.3">
      <c r="A1240">
        <v>1239</v>
      </c>
      <c r="B1240" s="1">
        <v>45503</v>
      </c>
      <c r="C1240" s="1" t="str">
        <f>TEXT(RetailStore[[#This Row],[Date]],"mmm")</f>
        <v>Jul</v>
      </c>
      <c r="D1240">
        <v>2024</v>
      </c>
      <c r="E1240" t="s">
        <v>1253</v>
      </c>
      <c r="F1240" t="s">
        <v>11</v>
      </c>
      <c r="G1240">
        <v>42</v>
      </c>
      <c r="H1240" t="s">
        <v>15</v>
      </c>
      <c r="I1240">
        <v>1</v>
      </c>
      <c r="J1240">
        <v>266</v>
      </c>
      <c r="K1240">
        <v>266</v>
      </c>
      <c r="L12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41" spans="1:12" x14ac:dyDescent="0.3">
      <c r="A1241">
        <v>1240</v>
      </c>
      <c r="B1241" s="1">
        <v>45591</v>
      </c>
      <c r="C1241" s="1" t="str">
        <f>TEXT(RetailStore[[#This Row],[Date]],"mmm")</f>
        <v>Oct</v>
      </c>
      <c r="D1241">
        <v>2024</v>
      </c>
      <c r="E1241" t="s">
        <v>1254</v>
      </c>
      <c r="F1241" t="s">
        <v>18</v>
      </c>
      <c r="G1241">
        <v>21</v>
      </c>
      <c r="H1241" t="s">
        <v>20</v>
      </c>
      <c r="I1241">
        <v>2</v>
      </c>
      <c r="J1241">
        <v>135</v>
      </c>
      <c r="K1241">
        <v>270</v>
      </c>
      <c r="L12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42" spans="1:12" x14ac:dyDescent="0.3">
      <c r="A1242">
        <v>1241</v>
      </c>
      <c r="B1242" s="1">
        <v>45604</v>
      </c>
      <c r="C1242" s="1" t="str">
        <f>TEXT(RetailStore[[#This Row],[Date]],"mmm")</f>
        <v>Nov</v>
      </c>
      <c r="D1242">
        <v>2024</v>
      </c>
      <c r="E1242" t="s">
        <v>1255</v>
      </c>
      <c r="F1242" t="s">
        <v>18</v>
      </c>
      <c r="G1242">
        <v>29</v>
      </c>
      <c r="H1242" t="s">
        <v>20</v>
      </c>
      <c r="I1242">
        <v>3</v>
      </c>
      <c r="J1242">
        <v>94</v>
      </c>
      <c r="K1242">
        <v>282</v>
      </c>
      <c r="L12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43" spans="1:12" x14ac:dyDescent="0.3">
      <c r="A1243">
        <v>1242</v>
      </c>
      <c r="B1243" s="1">
        <v>45526</v>
      </c>
      <c r="C1243" s="1" t="str">
        <f>TEXT(RetailStore[[#This Row],[Date]],"mmm")</f>
        <v>Aug</v>
      </c>
      <c r="D1243">
        <v>2024</v>
      </c>
      <c r="E1243" t="s">
        <v>1256</v>
      </c>
      <c r="F1243" t="s">
        <v>11</v>
      </c>
      <c r="G1243">
        <v>58</v>
      </c>
      <c r="H1243" t="s">
        <v>20</v>
      </c>
      <c r="I1243">
        <v>3</v>
      </c>
      <c r="J1243">
        <v>128</v>
      </c>
      <c r="K1243">
        <v>384</v>
      </c>
      <c r="L12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44" spans="1:12" x14ac:dyDescent="0.3">
      <c r="A1244">
        <v>1243</v>
      </c>
      <c r="B1244" s="1">
        <v>45463</v>
      </c>
      <c r="C1244" s="1" t="str">
        <f>TEXT(RetailStore[[#This Row],[Date]],"mmm")</f>
        <v>Jun</v>
      </c>
      <c r="D1244">
        <v>2024</v>
      </c>
      <c r="E1244" t="s">
        <v>1257</v>
      </c>
      <c r="F1244" t="s">
        <v>11</v>
      </c>
      <c r="G1244">
        <v>20</v>
      </c>
      <c r="H1244" t="s">
        <v>12</v>
      </c>
      <c r="I1244">
        <v>1</v>
      </c>
      <c r="J1244">
        <v>168</v>
      </c>
      <c r="K1244">
        <v>168</v>
      </c>
      <c r="L12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45" spans="1:12" x14ac:dyDescent="0.3">
      <c r="A1245">
        <v>1244</v>
      </c>
      <c r="B1245" s="1">
        <v>45361</v>
      </c>
      <c r="C1245" s="1" t="str">
        <f>TEXT(RetailStore[[#This Row],[Date]],"mmm")</f>
        <v>Mar</v>
      </c>
      <c r="D1245">
        <v>2024</v>
      </c>
      <c r="E1245" t="s">
        <v>1258</v>
      </c>
      <c r="F1245" t="s">
        <v>11</v>
      </c>
      <c r="G1245">
        <v>47</v>
      </c>
      <c r="H1245" t="s">
        <v>20</v>
      </c>
      <c r="I1245">
        <v>4</v>
      </c>
      <c r="J1245">
        <v>112</v>
      </c>
      <c r="K1245">
        <v>448</v>
      </c>
      <c r="L12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46" spans="1:12" x14ac:dyDescent="0.3">
      <c r="A1246">
        <v>1245</v>
      </c>
      <c r="B1246" s="1">
        <v>45467</v>
      </c>
      <c r="C1246" s="1" t="str">
        <f>TEXT(RetailStore[[#This Row],[Date]],"mmm")</f>
        <v>Jun</v>
      </c>
      <c r="D1246">
        <v>2024</v>
      </c>
      <c r="E1246" t="s">
        <v>1259</v>
      </c>
      <c r="F1246" t="s">
        <v>11</v>
      </c>
      <c r="G1246">
        <v>36</v>
      </c>
      <c r="H1246" t="s">
        <v>12</v>
      </c>
      <c r="I1246">
        <v>2</v>
      </c>
      <c r="J1246">
        <v>429</v>
      </c>
      <c r="K1246">
        <v>858</v>
      </c>
      <c r="L12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47" spans="1:12" x14ac:dyDescent="0.3">
      <c r="A1247">
        <v>1246</v>
      </c>
      <c r="B1247" s="1">
        <v>45618</v>
      </c>
      <c r="C1247" s="1" t="str">
        <f>TEXT(RetailStore[[#This Row],[Date]],"mmm")</f>
        <v>Nov</v>
      </c>
      <c r="D1247">
        <v>2024</v>
      </c>
      <c r="E1247" t="s">
        <v>1260</v>
      </c>
      <c r="F1247" t="s">
        <v>11</v>
      </c>
      <c r="G1247">
        <v>54</v>
      </c>
      <c r="H1247" t="s">
        <v>12</v>
      </c>
      <c r="I1247">
        <v>2</v>
      </c>
      <c r="J1247">
        <v>69</v>
      </c>
      <c r="K1247">
        <v>138</v>
      </c>
      <c r="L12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48" spans="1:12" x14ac:dyDescent="0.3">
      <c r="A1248">
        <v>1247</v>
      </c>
      <c r="B1248" s="1">
        <v>45502</v>
      </c>
      <c r="C1248" s="1" t="str">
        <f>TEXT(RetailStore[[#This Row],[Date]],"mmm")</f>
        <v>Jul</v>
      </c>
      <c r="D1248">
        <v>2024</v>
      </c>
      <c r="E1248" t="s">
        <v>1261</v>
      </c>
      <c r="F1248" t="s">
        <v>18</v>
      </c>
      <c r="G1248">
        <v>31</v>
      </c>
      <c r="H1248" t="s">
        <v>12</v>
      </c>
      <c r="I1248">
        <v>4</v>
      </c>
      <c r="J1248">
        <v>453</v>
      </c>
      <c r="K1248">
        <v>1812</v>
      </c>
      <c r="L12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49" spans="1:12" x14ac:dyDescent="0.3">
      <c r="A1249">
        <v>1248</v>
      </c>
      <c r="B1249" s="1">
        <v>45528</v>
      </c>
      <c r="C1249" s="1" t="str">
        <f>TEXT(RetailStore[[#This Row],[Date]],"mmm")</f>
        <v>Aug</v>
      </c>
      <c r="D1249">
        <v>2024</v>
      </c>
      <c r="E1249" t="s">
        <v>1262</v>
      </c>
      <c r="F1249" t="s">
        <v>18</v>
      </c>
      <c r="G1249">
        <v>18</v>
      </c>
      <c r="H1249" t="s">
        <v>12</v>
      </c>
      <c r="I1249">
        <v>4</v>
      </c>
      <c r="J1249">
        <v>401</v>
      </c>
      <c r="K1249">
        <v>1604</v>
      </c>
      <c r="L12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0" spans="1:12" x14ac:dyDescent="0.3">
      <c r="A1250">
        <v>1249</v>
      </c>
      <c r="B1250" s="1">
        <v>45418</v>
      </c>
      <c r="C1250" s="1" t="str">
        <f>TEXT(RetailStore[[#This Row],[Date]],"mmm")</f>
        <v>May</v>
      </c>
      <c r="D1250">
        <v>2024</v>
      </c>
      <c r="E1250" t="s">
        <v>1263</v>
      </c>
      <c r="F1250" t="s">
        <v>11</v>
      </c>
      <c r="G1250">
        <v>38</v>
      </c>
      <c r="H1250" t="s">
        <v>20</v>
      </c>
      <c r="I1250">
        <v>2</v>
      </c>
      <c r="J1250">
        <v>481</v>
      </c>
      <c r="K1250">
        <v>962</v>
      </c>
      <c r="L12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51" spans="1:12" x14ac:dyDescent="0.3">
      <c r="A1251">
        <v>1250</v>
      </c>
      <c r="B1251" s="1">
        <v>45594</v>
      </c>
      <c r="C1251" s="1" t="str">
        <f>TEXT(RetailStore[[#This Row],[Date]],"mmm")</f>
        <v>Oct</v>
      </c>
      <c r="D1251">
        <v>2024</v>
      </c>
      <c r="E1251" t="s">
        <v>1264</v>
      </c>
      <c r="F1251" t="s">
        <v>11</v>
      </c>
      <c r="G1251">
        <v>54</v>
      </c>
      <c r="H1251" t="s">
        <v>15</v>
      </c>
      <c r="I1251">
        <v>4</v>
      </c>
      <c r="J1251">
        <v>47</v>
      </c>
      <c r="K1251">
        <v>188</v>
      </c>
      <c r="L12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2" spans="1:12" x14ac:dyDescent="0.3">
      <c r="A1252">
        <v>1251</v>
      </c>
      <c r="B1252" s="1">
        <v>45312</v>
      </c>
      <c r="C1252" s="1" t="str">
        <f>TEXT(RetailStore[[#This Row],[Date]],"mmm")</f>
        <v>Jan</v>
      </c>
      <c r="D1252">
        <v>2024</v>
      </c>
      <c r="E1252" t="s">
        <v>1265</v>
      </c>
      <c r="F1252" t="s">
        <v>18</v>
      </c>
      <c r="G1252">
        <v>64</v>
      </c>
      <c r="H1252" t="s">
        <v>12</v>
      </c>
      <c r="I1252">
        <v>1</v>
      </c>
      <c r="J1252">
        <v>242</v>
      </c>
      <c r="K1252">
        <v>242</v>
      </c>
      <c r="L12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53" spans="1:12" x14ac:dyDescent="0.3">
      <c r="A1253">
        <v>1252</v>
      </c>
      <c r="B1253" s="1">
        <v>45563</v>
      </c>
      <c r="C1253" s="1" t="str">
        <f>TEXT(RetailStore[[#This Row],[Date]],"mmm")</f>
        <v>Sep</v>
      </c>
      <c r="D1253">
        <v>2024</v>
      </c>
      <c r="E1253" t="s">
        <v>1266</v>
      </c>
      <c r="F1253" t="s">
        <v>18</v>
      </c>
      <c r="G1253">
        <v>48</v>
      </c>
      <c r="H1253" t="s">
        <v>12</v>
      </c>
      <c r="I1253">
        <v>1</v>
      </c>
      <c r="J1253">
        <v>256</v>
      </c>
      <c r="K1253">
        <v>256</v>
      </c>
      <c r="L12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4" spans="1:12" x14ac:dyDescent="0.3">
      <c r="A1254">
        <v>1253</v>
      </c>
      <c r="B1254" s="1">
        <v>45545</v>
      </c>
      <c r="C1254" s="1" t="str">
        <f>TEXT(RetailStore[[#This Row],[Date]],"mmm")</f>
        <v>Sep</v>
      </c>
      <c r="D1254">
        <v>2024</v>
      </c>
      <c r="E1254" t="s">
        <v>1267</v>
      </c>
      <c r="F1254" t="s">
        <v>11</v>
      </c>
      <c r="G1254">
        <v>23</v>
      </c>
      <c r="H1254" t="s">
        <v>12</v>
      </c>
      <c r="I1254">
        <v>1</v>
      </c>
      <c r="J1254">
        <v>379</v>
      </c>
      <c r="K1254">
        <v>379</v>
      </c>
      <c r="L12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5" spans="1:12" x14ac:dyDescent="0.3">
      <c r="A1255">
        <v>1254</v>
      </c>
      <c r="B1255" s="1">
        <v>45500</v>
      </c>
      <c r="C1255" s="1" t="str">
        <f>TEXT(RetailStore[[#This Row],[Date]],"mmm")</f>
        <v>Jul</v>
      </c>
      <c r="D1255">
        <v>2024</v>
      </c>
      <c r="E1255" t="s">
        <v>1268</v>
      </c>
      <c r="F1255" t="s">
        <v>11</v>
      </c>
      <c r="G1255">
        <v>26</v>
      </c>
      <c r="H1255" t="s">
        <v>20</v>
      </c>
      <c r="I1255">
        <v>3</v>
      </c>
      <c r="J1255">
        <v>147</v>
      </c>
      <c r="K1255">
        <v>441</v>
      </c>
      <c r="L12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6" spans="1:12" x14ac:dyDescent="0.3">
      <c r="A1256">
        <v>1255</v>
      </c>
      <c r="B1256" s="1">
        <v>45623</v>
      </c>
      <c r="C1256" s="1" t="str">
        <f>TEXT(RetailStore[[#This Row],[Date]],"mmm")</f>
        <v>Nov</v>
      </c>
      <c r="D1256">
        <v>2024</v>
      </c>
      <c r="E1256" t="s">
        <v>1269</v>
      </c>
      <c r="F1256" t="s">
        <v>11</v>
      </c>
      <c r="G1256">
        <v>19</v>
      </c>
      <c r="H1256" t="s">
        <v>20</v>
      </c>
      <c r="I1256">
        <v>3</v>
      </c>
      <c r="J1256">
        <v>107</v>
      </c>
      <c r="K1256">
        <v>321</v>
      </c>
      <c r="L12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57" spans="1:12" x14ac:dyDescent="0.3">
      <c r="A1257">
        <v>1256</v>
      </c>
      <c r="B1257" s="1">
        <v>45652</v>
      </c>
      <c r="C1257" s="1" t="str">
        <f>TEXT(RetailStore[[#This Row],[Date]],"mmm")</f>
        <v>Dec</v>
      </c>
      <c r="D1257">
        <v>2024</v>
      </c>
      <c r="E1257" t="s">
        <v>1270</v>
      </c>
      <c r="F1257" t="s">
        <v>18</v>
      </c>
      <c r="G1257">
        <v>54</v>
      </c>
      <c r="H1257" t="s">
        <v>12</v>
      </c>
      <c r="I1257">
        <v>1</v>
      </c>
      <c r="J1257">
        <v>257</v>
      </c>
      <c r="K1257">
        <v>257</v>
      </c>
      <c r="L12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58" spans="1:12" x14ac:dyDescent="0.3">
      <c r="A1258">
        <v>1257</v>
      </c>
      <c r="B1258" s="1">
        <v>45529</v>
      </c>
      <c r="C1258" s="1" t="str">
        <f>TEXT(RetailStore[[#This Row],[Date]],"mmm")</f>
        <v>Aug</v>
      </c>
      <c r="D1258">
        <v>2024</v>
      </c>
      <c r="E1258" t="s">
        <v>1271</v>
      </c>
      <c r="F1258" t="s">
        <v>11</v>
      </c>
      <c r="G1258">
        <v>63</v>
      </c>
      <c r="H1258" t="s">
        <v>20</v>
      </c>
      <c r="I1258">
        <v>2</v>
      </c>
      <c r="J1258">
        <v>429</v>
      </c>
      <c r="K1258">
        <v>858</v>
      </c>
      <c r="L12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59" spans="1:12" x14ac:dyDescent="0.3">
      <c r="A1259">
        <v>1258</v>
      </c>
      <c r="B1259" s="1">
        <v>45481</v>
      </c>
      <c r="C1259" s="1" t="str">
        <f>TEXT(RetailStore[[#This Row],[Date]],"mmm")</f>
        <v>Jul</v>
      </c>
      <c r="D1259">
        <v>2024</v>
      </c>
      <c r="E1259" t="s">
        <v>1272</v>
      </c>
      <c r="F1259" t="s">
        <v>18</v>
      </c>
      <c r="G1259">
        <v>63</v>
      </c>
      <c r="H1259" t="s">
        <v>12</v>
      </c>
      <c r="I1259">
        <v>1</v>
      </c>
      <c r="J1259">
        <v>465</v>
      </c>
      <c r="K1259">
        <v>465</v>
      </c>
      <c r="L12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60" spans="1:12" x14ac:dyDescent="0.3">
      <c r="A1260">
        <v>1259</v>
      </c>
      <c r="B1260" s="1">
        <v>45613</v>
      </c>
      <c r="C1260" s="1" t="str">
        <f>TEXT(RetailStore[[#This Row],[Date]],"mmm")</f>
        <v>Nov</v>
      </c>
      <c r="D1260">
        <v>2024</v>
      </c>
      <c r="E1260" t="s">
        <v>1273</v>
      </c>
      <c r="F1260" t="s">
        <v>11</v>
      </c>
      <c r="G1260">
        <v>42</v>
      </c>
      <c r="H1260" t="s">
        <v>12</v>
      </c>
      <c r="I1260">
        <v>3</v>
      </c>
      <c r="J1260">
        <v>296</v>
      </c>
      <c r="K1260">
        <v>888</v>
      </c>
      <c r="L12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61" spans="1:12" x14ac:dyDescent="0.3">
      <c r="A1261">
        <v>1260</v>
      </c>
      <c r="B1261" s="1">
        <v>45308</v>
      </c>
      <c r="C1261" s="1" t="str">
        <f>TEXT(RetailStore[[#This Row],[Date]],"mmm")</f>
        <v>Jan</v>
      </c>
      <c r="D1261">
        <v>2024</v>
      </c>
      <c r="E1261" t="s">
        <v>1274</v>
      </c>
      <c r="F1261" t="s">
        <v>18</v>
      </c>
      <c r="G1261">
        <v>45</v>
      </c>
      <c r="H1261" t="s">
        <v>20</v>
      </c>
      <c r="I1261">
        <v>2</v>
      </c>
      <c r="J1261">
        <v>428</v>
      </c>
      <c r="K1261">
        <v>856</v>
      </c>
      <c r="L12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62" spans="1:12" x14ac:dyDescent="0.3">
      <c r="A1262">
        <v>1261</v>
      </c>
      <c r="B1262" s="1">
        <v>45642</v>
      </c>
      <c r="C1262" s="1" t="str">
        <f>TEXT(RetailStore[[#This Row],[Date]],"mmm")</f>
        <v>Dec</v>
      </c>
      <c r="D1262">
        <v>2024</v>
      </c>
      <c r="E1262" t="s">
        <v>1275</v>
      </c>
      <c r="F1262" t="s">
        <v>11</v>
      </c>
      <c r="G1262">
        <v>57</v>
      </c>
      <c r="H1262" t="s">
        <v>20</v>
      </c>
      <c r="I1262">
        <v>1</v>
      </c>
      <c r="J1262">
        <v>288</v>
      </c>
      <c r="K1262">
        <v>288</v>
      </c>
      <c r="L12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63" spans="1:12" x14ac:dyDescent="0.3">
      <c r="A1263">
        <v>1262</v>
      </c>
      <c r="B1263" s="1">
        <v>45637</v>
      </c>
      <c r="C1263" s="1" t="str">
        <f>TEXT(RetailStore[[#This Row],[Date]],"mmm")</f>
        <v>Dec</v>
      </c>
      <c r="D1263">
        <v>2024</v>
      </c>
      <c r="E1263" t="s">
        <v>1276</v>
      </c>
      <c r="F1263" t="s">
        <v>18</v>
      </c>
      <c r="G1263">
        <v>21</v>
      </c>
      <c r="H1263" t="s">
        <v>15</v>
      </c>
      <c r="I1263">
        <v>4</v>
      </c>
      <c r="J1263">
        <v>212</v>
      </c>
      <c r="K1263">
        <v>848</v>
      </c>
      <c r="L12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64" spans="1:12" x14ac:dyDescent="0.3">
      <c r="A1264">
        <v>1263</v>
      </c>
      <c r="B1264" s="1">
        <v>45530</v>
      </c>
      <c r="C1264" s="1" t="str">
        <f>TEXT(RetailStore[[#This Row],[Date]],"mmm")</f>
        <v>Aug</v>
      </c>
      <c r="D1264">
        <v>2024</v>
      </c>
      <c r="E1264" t="s">
        <v>1277</v>
      </c>
      <c r="F1264" t="s">
        <v>11</v>
      </c>
      <c r="G1264">
        <v>41</v>
      </c>
      <c r="H1264" t="s">
        <v>20</v>
      </c>
      <c r="I1264">
        <v>2</v>
      </c>
      <c r="J1264">
        <v>356</v>
      </c>
      <c r="K1264">
        <v>712</v>
      </c>
      <c r="L12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65" spans="1:12" x14ac:dyDescent="0.3">
      <c r="A1265">
        <v>1264</v>
      </c>
      <c r="B1265" s="1">
        <v>45578</v>
      </c>
      <c r="C1265" s="1" t="str">
        <f>TEXT(RetailStore[[#This Row],[Date]],"mmm")</f>
        <v>Oct</v>
      </c>
      <c r="D1265">
        <v>2024</v>
      </c>
      <c r="E1265" t="s">
        <v>1278</v>
      </c>
      <c r="F1265" t="s">
        <v>11</v>
      </c>
      <c r="G1265">
        <v>53</v>
      </c>
      <c r="H1265" t="s">
        <v>12</v>
      </c>
      <c r="I1265">
        <v>2</v>
      </c>
      <c r="J1265">
        <v>95</v>
      </c>
      <c r="K1265">
        <v>190</v>
      </c>
      <c r="L12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66" spans="1:12" x14ac:dyDescent="0.3">
      <c r="A1266">
        <v>1265</v>
      </c>
      <c r="B1266" s="1">
        <v>45463</v>
      </c>
      <c r="C1266" s="1" t="str">
        <f>TEXT(RetailStore[[#This Row],[Date]],"mmm")</f>
        <v>Jun</v>
      </c>
      <c r="D1266">
        <v>2024</v>
      </c>
      <c r="E1266" t="s">
        <v>1279</v>
      </c>
      <c r="F1266" t="s">
        <v>11</v>
      </c>
      <c r="G1266">
        <v>52</v>
      </c>
      <c r="H1266" t="s">
        <v>15</v>
      </c>
      <c r="I1266">
        <v>4</v>
      </c>
      <c r="J1266">
        <v>402</v>
      </c>
      <c r="K1266">
        <v>1608</v>
      </c>
      <c r="L12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67" spans="1:12" x14ac:dyDescent="0.3">
      <c r="A1267">
        <v>1266</v>
      </c>
      <c r="B1267" s="1">
        <v>45589</v>
      </c>
      <c r="C1267" s="1" t="str">
        <f>TEXT(RetailStore[[#This Row],[Date]],"mmm")</f>
        <v>Oct</v>
      </c>
      <c r="D1267">
        <v>2024</v>
      </c>
      <c r="E1267" t="s">
        <v>1280</v>
      </c>
      <c r="F1267" t="s">
        <v>11</v>
      </c>
      <c r="G1267">
        <v>32</v>
      </c>
      <c r="H1267" t="s">
        <v>20</v>
      </c>
      <c r="I1267">
        <v>3</v>
      </c>
      <c r="J1267">
        <v>484</v>
      </c>
      <c r="K1267">
        <v>1452</v>
      </c>
      <c r="L12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68" spans="1:12" x14ac:dyDescent="0.3">
      <c r="A1268">
        <v>1267</v>
      </c>
      <c r="B1268" s="1">
        <v>45428</v>
      </c>
      <c r="C1268" s="1" t="str">
        <f>TEXT(RetailStore[[#This Row],[Date]],"mmm")</f>
        <v>May</v>
      </c>
      <c r="D1268">
        <v>2024</v>
      </c>
      <c r="E1268" t="s">
        <v>1281</v>
      </c>
      <c r="F1268" t="s">
        <v>18</v>
      </c>
      <c r="G1268">
        <v>35</v>
      </c>
      <c r="H1268" t="s">
        <v>15</v>
      </c>
      <c r="I1268">
        <v>1</v>
      </c>
      <c r="J1268">
        <v>215</v>
      </c>
      <c r="K1268">
        <v>215</v>
      </c>
      <c r="L12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69" spans="1:12" x14ac:dyDescent="0.3">
      <c r="A1269">
        <v>1268</v>
      </c>
      <c r="B1269" s="1">
        <v>45468</v>
      </c>
      <c r="C1269" s="1" t="str">
        <f>TEXT(RetailStore[[#This Row],[Date]],"mmm")</f>
        <v>Jun</v>
      </c>
      <c r="D1269">
        <v>2024</v>
      </c>
      <c r="E1269" t="s">
        <v>1282</v>
      </c>
      <c r="F1269" t="s">
        <v>18</v>
      </c>
      <c r="G1269">
        <v>49</v>
      </c>
      <c r="H1269" t="s">
        <v>12</v>
      </c>
      <c r="I1269">
        <v>1</v>
      </c>
      <c r="J1269">
        <v>265</v>
      </c>
      <c r="K1269">
        <v>265</v>
      </c>
      <c r="L12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70" spans="1:12" x14ac:dyDescent="0.3">
      <c r="A1270">
        <v>1269</v>
      </c>
      <c r="B1270" s="1">
        <v>45655</v>
      </c>
      <c r="C1270" s="1" t="str">
        <f>TEXT(RetailStore[[#This Row],[Date]],"mmm")</f>
        <v>Dec</v>
      </c>
      <c r="D1270">
        <v>2024</v>
      </c>
      <c r="E1270" t="s">
        <v>1283</v>
      </c>
      <c r="F1270" t="s">
        <v>18</v>
      </c>
      <c r="G1270">
        <v>46</v>
      </c>
      <c r="H1270" t="s">
        <v>12</v>
      </c>
      <c r="I1270">
        <v>3</v>
      </c>
      <c r="J1270">
        <v>434</v>
      </c>
      <c r="K1270">
        <v>1302</v>
      </c>
      <c r="L12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71" spans="1:12" x14ac:dyDescent="0.3">
      <c r="A1271">
        <v>1270</v>
      </c>
      <c r="B1271" s="1">
        <v>45636</v>
      </c>
      <c r="C1271" s="1" t="str">
        <f>TEXT(RetailStore[[#This Row],[Date]],"mmm")</f>
        <v>Dec</v>
      </c>
      <c r="D1271">
        <v>2024</v>
      </c>
      <c r="E1271" t="s">
        <v>1284</v>
      </c>
      <c r="F1271" t="s">
        <v>11</v>
      </c>
      <c r="G1271">
        <v>30</v>
      </c>
      <c r="H1271" t="s">
        <v>20</v>
      </c>
      <c r="I1271">
        <v>1</v>
      </c>
      <c r="J1271">
        <v>66</v>
      </c>
      <c r="K1271">
        <v>66</v>
      </c>
      <c r="L12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72" spans="1:12" x14ac:dyDescent="0.3">
      <c r="A1272">
        <v>1271</v>
      </c>
      <c r="B1272" s="1">
        <v>45492</v>
      </c>
      <c r="C1272" s="1" t="str">
        <f>TEXT(RetailStore[[#This Row],[Date]],"mmm")</f>
        <v>Jul</v>
      </c>
      <c r="D1272">
        <v>2024</v>
      </c>
      <c r="E1272" t="s">
        <v>1285</v>
      </c>
      <c r="F1272" t="s">
        <v>11</v>
      </c>
      <c r="G1272">
        <v>36</v>
      </c>
      <c r="H1272" t="s">
        <v>15</v>
      </c>
      <c r="I1272">
        <v>1</v>
      </c>
      <c r="J1272">
        <v>109</v>
      </c>
      <c r="K1272">
        <v>109</v>
      </c>
      <c r="L12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73" spans="1:12" x14ac:dyDescent="0.3">
      <c r="A1273">
        <v>1272</v>
      </c>
      <c r="B1273" s="1">
        <v>45433</v>
      </c>
      <c r="C1273" s="1" t="str">
        <f>TEXT(RetailStore[[#This Row],[Date]],"mmm")</f>
        <v>May</v>
      </c>
      <c r="D1273">
        <v>2024</v>
      </c>
      <c r="E1273" t="s">
        <v>1286</v>
      </c>
      <c r="F1273" t="s">
        <v>11</v>
      </c>
      <c r="G1273">
        <v>62</v>
      </c>
      <c r="H1273" t="s">
        <v>15</v>
      </c>
      <c r="I1273">
        <v>4</v>
      </c>
      <c r="J1273">
        <v>102</v>
      </c>
      <c r="K1273">
        <v>408</v>
      </c>
      <c r="L12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74" spans="1:12" x14ac:dyDescent="0.3">
      <c r="A1274">
        <v>1273</v>
      </c>
      <c r="B1274" s="1">
        <v>45396</v>
      </c>
      <c r="C1274" s="1" t="str">
        <f>TEXT(RetailStore[[#This Row],[Date]],"mmm")</f>
        <v>Apr</v>
      </c>
      <c r="D1274">
        <v>2024</v>
      </c>
      <c r="E1274" t="s">
        <v>1287</v>
      </c>
      <c r="F1274" t="s">
        <v>11</v>
      </c>
      <c r="G1274">
        <v>36</v>
      </c>
      <c r="H1274" t="s">
        <v>20</v>
      </c>
      <c r="I1274">
        <v>2</v>
      </c>
      <c r="J1274">
        <v>267</v>
      </c>
      <c r="K1274">
        <v>534</v>
      </c>
      <c r="L12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75" spans="1:12" x14ac:dyDescent="0.3">
      <c r="A1275">
        <v>1274</v>
      </c>
      <c r="B1275" s="1">
        <v>45469</v>
      </c>
      <c r="C1275" s="1" t="str">
        <f>TEXT(RetailStore[[#This Row],[Date]],"mmm")</f>
        <v>Jun</v>
      </c>
      <c r="D1275">
        <v>2024</v>
      </c>
      <c r="E1275" t="s">
        <v>1288</v>
      </c>
      <c r="F1275" t="s">
        <v>18</v>
      </c>
      <c r="G1275">
        <v>46</v>
      </c>
      <c r="H1275" t="s">
        <v>12</v>
      </c>
      <c r="I1275">
        <v>1</v>
      </c>
      <c r="J1275">
        <v>174</v>
      </c>
      <c r="K1275">
        <v>174</v>
      </c>
      <c r="L12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76" spans="1:12" x14ac:dyDescent="0.3">
      <c r="A1276">
        <v>1275</v>
      </c>
      <c r="B1276" s="1">
        <v>45388</v>
      </c>
      <c r="C1276" s="1" t="str">
        <f>TEXT(RetailStore[[#This Row],[Date]],"mmm")</f>
        <v>Apr</v>
      </c>
      <c r="D1276">
        <v>2024</v>
      </c>
      <c r="E1276" t="s">
        <v>1289</v>
      </c>
      <c r="F1276" t="s">
        <v>11</v>
      </c>
      <c r="G1276">
        <v>19</v>
      </c>
      <c r="H1276" t="s">
        <v>15</v>
      </c>
      <c r="I1276">
        <v>3</v>
      </c>
      <c r="J1276">
        <v>235</v>
      </c>
      <c r="K1276">
        <v>705</v>
      </c>
      <c r="L12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77" spans="1:12" x14ac:dyDescent="0.3">
      <c r="A1277">
        <v>1276</v>
      </c>
      <c r="B1277" s="1">
        <v>45588</v>
      </c>
      <c r="C1277" s="1" t="str">
        <f>TEXT(RetailStore[[#This Row],[Date]],"mmm")</f>
        <v>Oct</v>
      </c>
      <c r="D1277">
        <v>2024</v>
      </c>
      <c r="E1277" t="s">
        <v>1290</v>
      </c>
      <c r="F1277" t="s">
        <v>18</v>
      </c>
      <c r="G1277">
        <v>59</v>
      </c>
      <c r="H1277" t="s">
        <v>12</v>
      </c>
      <c r="I1277">
        <v>3</v>
      </c>
      <c r="J1277">
        <v>273</v>
      </c>
      <c r="K1277">
        <v>819</v>
      </c>
      <c r="L12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78" spans="1:12" x14ac:dyDescent="0.3">
      <c r="A1278">
        <v>1277</v>
      </c>
      <c r="B1278" s="1">
        <v>45595</v>
      </c>
      <c r="C1278" s="1" t="str">
        <f>TEXT(RetailStore[[#This Row],[Date]],"mmm")</f>
        <v>Oct</v>
      </c>
      <c r="D1278">
        <v>2024</v>
      </c>
      <c r="E1278" t="s">
        <v>1291</v>
      </c>
      <c r="F1278" t="s">
        <v>18</v>
      </c>
      <c r="G1278">
        <v>47</v>
      </c>
      <c r="H1278" t="s">
        <v>20</v>
      </c>
      <c r="I1278">
        <v>2</v>
      </c>
      <c r="J1278">
        <v>484</v>
      </c>
      <c r="K1278">
        <v>968</v>
      </c>
      <c r="L12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79" spans="1:12" x14ac:dyDescent="0.3">
      <c r="A1279">
        <v>1278</v>
      </c>
      <c r="B1279" s="1">
        <v>45448</v>
      </c>
      <c r="C1279" s="1" t="str">
        <f>TEXT(RetailStore[[#This Row],[Date]],"mmm")</f>
        <v>Jun</v>
      </c>
      <c r="D1279">
        <v>2024</v>
      </c>
      <c r="E1279" t="s">
        <v>1292</v>
      </c>
      <c r="F1279" t="s">
        <v>11</v>
      </c>
      <c r="G1279">
        <v>34</v>
      </c>
      <c r="H1279" t="s">
        <v>15</v>
      </c>
      <c r="I1279">
        <v>4</v>
      </c>
      <c r="J1279">
        <v>215</v>
      </c>
      <c r="K1279">
        <v>860</v>
      </c>
      <c r="L12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0" spans="1:12" x14ac:dyDescent="0.3">
      <c r="A1280">
        <v>1279</v>
      </c>
      <c r="B1280" s="1">
        <v>45439</v>
      </c>
      <c r="C1280" s="1" t="str">
        <f>TEXT(RetailStore[[#This Row],[Date]],"mmm")</f>
        <v>May</v>
      </c>
      <c r="D1280">
        <v>2024</v>
      </c>
      <c r="E1280" t="s">
        <v>1293</v>
      </c>
      <c r="F1280" t="s">
        <v>11</v>
      </c>
      <c r="G1280">
        <v>27</v>
      </c>
      <c r="H1280" t="s">
        <v>20</v>
      </c>
      <c r="I1280">
        <v>3</v>
      </c>
      <c r="J1280">
        <v>258</v>
      </c>
      <c r="K1280">
        <v>774</v>
      </c>
      <c r="L12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1" spans="1:12" x14ac:dyDescent="0.3">
      <c r="A1281">
        <v>1280</v>
      </c>
      <c r="B1281" s="1">
        <v>45377</v>
      </c>
      <c r="C1281" s="1" t="str">
        <f>TEXT(RetailStore[[#This Row],[Date]],"mmm")</f>
        <v>Mar</v>
      </c>
      <c r="D1281">
        <v>2024</v>
      </c>
      <c r="E1281" t="s">
        <v>1294</v>
      </c>
      <c r="F1281" t="s">
        <v>11</v>
      </c>
      <c r="G1281">
        <v>63</v>
      </c>
      <c r="H1281" t="s">
        <v>12</v>
      </c>
      <c r="I1281">
        <v>3</v>
      </c>
      <c r="J1281">
        <v>118</v>
      </c>
      <c r="K1281">
        <v>354</v>
      </c>
      <c r="L12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2" spans="1:12" x14ac:dyDescent="0.3">
      <c r="A1282">
        <v>1281</v>
      </c>
      <c r="B1282" s="1">
        <v>45381</v>
      </c>
      <c r="C1282" s="1" t="str">
        <f>TEXT(RetailStore[[#This Row],[Date]],"mmm")</f>
        <v>Mar</v>
      </c>
      <c r="D1282">
        <v>2024</v>
      </c>
      <c r="E1282" t="s">
        <v>1295</v>
      </c>
      <c r="F1282" t="s">
        <v>11</v>
      </c>
      <c r="G1282">
        <v>28</v>
      </c>
      <c r="H1282" t="s">
        <v>15</v>
      </c>
      <c r="I1282">
        <v>1</v>
      </c>
      <c r="J1282">
        <v>46</v>
      </c>
      <c r="K1282">
        <v>46</v>
      </c>
      <c r="L12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3" spans="1:12" x14ac:dyDescent="0.3">
      <c r="A1283">
        <v>1282</v>
      </c>
      <c r="B1283" s="1">
        <v>45454</v>
      </c>
      <c r="C1283" s="1" t="str">
        <f>TEXT(RetailStore[[#This Row],[Date]],"mmm")</f>
        <v>Jun</v>
      </c>
      <c r="D1283">
        <v>2024</v>
      </c>
      <c r="E1283" t="s">
        <v>1296</v>
      </c>
      <c r="F1283" t="s">
        <v>11</v>
      </c>
      <c r="G1283">
        <v>46</v>
      </c>
      <c r="H1283" t="s">
        <v>20</v>
      </c>
      <c r="I1283">
        <v>3</v>
      </c>
      <c r="J1283">
        <v>119</v>
      </c>
      <c r="K1283">
        <v>357</v>
      </c>
      <c r="L12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4" spans="1:12" x14ac:dyDescent="0.3">
      <c r="A1284">
        <v>1283</v>
      </c>
      <c r="B1284" s="1">
        <v>45397</v>
      </c>
      <c r="C1284" s="1" t="str">
        <f>TEXT(RetailStore[[#This Row],[Date]],"mmm")</f>
        <v>Apr</v>
      </c>
      <c r="D1284">
        <v>2024</v>
      </c>
      <c r="E1284" t="s">
        <v>1297</v>
      </c>
      <c r="F1284" t="s">
        <v>11</v>
      </c>
      <c r="G1284">
        <v>60</v>
      </c>
      <c r="H1284" t="s">
        <v>20</v>
      </c>
      <c r="I1284">
        <v>3</v>
      </c>
      <c r="J1284">
        <v>100</v>
      </c>
      <c r="K1284">
        <v>300</v>
      </c>
      <c r="L12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5" spans="1:12" x14ac:dyDescent="0.3">
      <c r="A1285">
        <v>1284</v>
      </c>
      <c r="B1285" s="1">
        <v>45482</v>
      </c>
      <c r="C1285" s="1" t="str">
        <f>TEXT(RetailStore[[#This Row],[Date]],"mmm")</f>
        <v>Jul</v>
      </c>
      <c r="D1285">
        <v>2024</v>
      </c>
      <c r="E1285" t="s">
        <v>1298</v>
      </c>
      <c r="F1285" t="s">
        <v>18</v>
      </c>
      <c r="G1285">
        <v>52</v>
      </c>
      <c r="H1285" t="s">
        <v>15</v>
      </c>
      <c r="I1285">
        <v>3</v>
      </c>
      <c r="J1285">
        <v>87</v>
      </c>
      <c r="K1285">
        <v>261</v>
      </c>
      <c r="L12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86" spans="1:12" x14ac:dyDescent="0.3">
      <c r="A1286">
        <v>1285</v>
      </c>
      <c r="B1286" s="1">
        <v>45304</v>
      </c>
      <c r="C1286" s="1" t="str">
        <f>TEXT(RetailStore[[#This Row],[Date]],"mmm")</f>
        <v>Jan</v>
      </c>
      <c r="D1286">
        <v>2024</v>
      </c>
      <c r="E1286" t="s">
        <v>1299</v>
      </c>
      <c r="F1286" t="s">
        <v>18</v>
      </c>
      <c r="G1286">
        <v>49</v>
      </c>
      <c r="H1286" t="s">
        <v>15</v>
      </c>
      <c r="I1286">
        <v>4</v>
      </c>
      <c r="J1286">
        <v>500</v>
      </c>
      <c r="K1286">
        <v>2000</v>
      </c>
      <c r="L12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87" spans="1:12" x14ac:dyDescent="0.3">
      <c r="A1287">
        <v>1286</v>
      </c>
      <c r="B1287" s="1">
        <v>45455</v>
      </c>
      <c r="C1287" s="1" t="str">
        <f>TEXT(RetailStore[[#This Row],[Date]],"mmm")</f>
        <v>Jun</v>
      </c>
      <c r="D1287">
        <v>2024</v>
      </c>
      <c r="E1287" t="s">
        <v>1300</v>
      </c>
      <c r="F1287" t="s">
        <v>11</v>
      </c>
      <c r="G1287">
        <v>18</v>
      </c>
      <c r="H1287" t="s">
        <v>12</v>
      </c>
      <c r="I1287">
        <v>3</v>
      </c>
      <c r="J1287">
        <v>356</v>
      </c>
      <c r="K1287">
        <v>1068</v>
      </c>
      <c r="L12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88" spans="1:12" x14ac:dyDescent="0.3">
      <c r="A1288">
        <v>1287</v>
      </c>
      <c r="B1288" s="1">
        <v>45653</v>
      </c>
      <c r="C1288" s="1" t="str">
        <f>TEXT(RetailStore[[#This Row],[Date]],"mmm")</f>
        <v>Dec</v>
      </c>
      <c r="D1288">
        <v>2024</v>
      </c>
      <c r="E1288" t="s">
        <v>1301</v>
      </c>
      <c r="F1288" t="s">
        <v>18</v>
      </c>
      <c r="G1288">
        <v>48</v>
      </c>
      <c r="H1288" t="s">
        <v>20</v>
      </c>
      <c r="I1288">
        <v>2</v>
      </c>
      <c r="J1288">
        <v>434</v>
      </c>
      <c r="K1288">
        <v>868</v>
      </c>
      <c r="L12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89" spans="1:12" x14ac:dyDescent="0.3">
      <c r="A1289">
        <v>1288</v>
      </c>
      <c r="B1289" s="1">
        <v>45581</v>
      </c>
      <c r="C1289" s="1" t="str">
        <f>TEXT(RetailStore[[#This Row],[Date]],"mmm")</f>
        <v>Oct</v>
      </c>
      <c r="D1289">
        <v>2024</v>
      </c>
      <c r="E1289" t="s">
        <v>1302</v>
      </c>
      <c r="F1289" t="s">
        <v>18</v>
      </c>
      <c r="G1289">
        <v>39</v>
      </c>
      <c r="H1289" t="s">
        <v>12</v>
      </c>
      <c r="I1289">
        <v>1</v>
      </c>
      <c r="J1289">
        <v>399</v>
      </c>
      <c r="K1289">
        <v>399</v>
      </c>
      <c r="L12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90" spans="1:12" x14ac:dyDescent="0.3">
      <c r="A1290">
        <v>1289</v>
      </c>
      <c r="B1290" s="1">
        <v>45537</v>
      </c>
      <c r="C1290" s="1" t="str">
        <f>TEXT(RetailStore[[#This Row],[Date]],"mmm")</f>
        <v>Sep</v>
      </c>
      <c r="D1290">
        <v>2024</v>
      </c>
      <c r="E1290" t="s">
        <v>1303</v>
      </c>
      <c r="F1290" t="s">
        <v>11</v>
      </c>
      <c r="G1290">
        <v>26</v>
      </c>
      <c r="H1290" t="s">
        <v>12</v>
      </c>
      <c r="I1290">
        <v>1</v>
      </c>
      <c r="J1290">
        <v>182</v>
      </c>
      <c r="K1290">
        <v>182</v>
      </c>
      <c r="L12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91" spans="1:12" x14ac:dyDescent="0.3">
      <c r="A1291">
        <v>1290</v>
      </c>
      <c r="B1291" s="1">
        <v>45304</v>
      </c>
      <c r="C1291" s="1" t="str">
        <f>TEXT(RetailStore[[#This Row],[Date]],"mmm")</f>
        <v>Jan</v>
      </c>
      <c r="D1291">
        <v>2024</v>
      </c>
      <c r="E1291" t="s">
        <v>1304</v>
      </c>
      <c r="F1291" t="s">
        <v>18</v>
      </c>
      <c r="G1291">
        <v>57</v>
      </c>
      <c r="H1291" t="s">
        <v>15</v>
      </c>
      <c r="I1291">
        <v>4</v>
      </c>
      <c r="J1291">
        <v>207</v>
      </c>
      <c r="K1291">
        <v>828</v>
      </c>
      <c r="L12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92" spans="1:12" x14ac:dyDescent="0.3">
      <c r="A1292">
        <v>1291</v>
      </c>
      <c r="B1292" s="1">
        <v>45339</v>
      </c>
      <c r="C1292" s="1" t="str">
        <f>TEXT(RetailStore[[#This Row],[Date]],"mmm")</f>
        <v>Feb</v>
      </c>
      <c r="D1292">
        <v>2024</v>
      </c>
      <c r="E1292" t="s">
        <v>1305</v>
      </c>
      <c r="F1292" t="s">
        <v>18</v>
      </c>
      <c r="G1292">
        <v>21</v>
      </c>
      <c r="H1292" t="s">
        <v>12</v>
      </c>
      <c r="I1292">
        <v>2</v>
      </c>
      <c r="J1292">
        <v>323</v>
      </c>
      <c r="K1292">
        <v>646</v>
      </c>
      <c r="L12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93" spans="1:12" x14ac:dyDescent="0.3">
      <c r="A1293">
        <v>1292</v>
      </c>
      <c r="B1293" s="1">
        <v>45561</v>
      </c>
      <c r="C1293" s="1" t="str">
        <f>TEXT(RetailStore[[#This Row],[Date]],"mmm")</f>
        <v>Sep</v>
      </c>
      <c r="D1293">
        <v>2024</v>
      </c>
      <c r="E1293" t="s">
        <v>1306</v>
      </c>
      <c r="F1293" t="s">
        <v>11</v>
      </c>
      <c r="G1293">
        <v>35</v>
      </c>
      <c r="H1293" t="s">
        <v>15</v>
      </c>
      <c r="I1293">
        <v>1</v>
      </c>
      <c r="J1293">
        <v>67</v>
      </c>
      <c r="K1293">
        <v>67</v>
      </c>
      <c r="L12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94" spans="1:12" x14ac:dyDescent="0.3">
      <c r="A1294">
        <v>1293</v>
      </c>
      <c r="B1294" s="1">
        <v>45567</v>
      </c>
      <c r="C1294" s="1" t="str">
        <f>TEXT(RetailStore[[#This Row],[Date]],"mmm")</f>
        <v>Oct</v>
      </c>
      <c r="D1294">
        <v>2024</v>
      </c>
      <c r="E1294" t="s">
        <v>1307</v>
      </c>
      <c r="F1294" t="s">
        <v>18</v>
      </c>
      <c r="G1294">
        <v>61</v>
      </c>
      <c r="H1294" t="s">
        <v>12</v>
      </c>
      <c r="I1294">
        <v>1</v>
      </c>
      <c r="J1294">
        <v>287</v>
      </c>
      <c r="K1294">
        <v>287</v>
      </c>
      <c r="L12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95" spans="1:12" x14ac:dyDescent="0.3">
      <c r="A1295">
        <v>1294</v>
      </c>
      <c r="B1295" s="1">
        <v>45493</v>
      </c>
      <c r="C1295" s="1" t="str">
        <f>TEXT(RetailStore[[#This Row],[Date]],"mmm")</f>
        <v>Jul</v>
      </c>
      <c r="D1295">
        <v>2024</v>
      </c>
      <c r="E1295" t="s">
        <v>1308</v>
      </c>
      <c r="F1295" t="s">
        <v>11</v>
      </c>
      <c r="G1295">
        <v>49</v>
      </c>
      <c r="H1295" t="s">
        <v>20</v>
      </c>
      <c r="I1295">
        <v>1</v>
      </c>
      <c r="J1295">
        <v>490</v>
      </c>
      <c r="K1295">
        <v>490</v>
      </c>
      <c r="L12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96" spans="1:12" x14ac:dyDescent="0.3">
      <c r="A1296">
        <v>1295</v>
      </c>
      <c r="B1296" s="1">
        <v>45633</v>
      </c>
      <c r="C1296" s="1" t="str">
        <f>TEXT(RetailStore[[#This Row],[Date]],"mmm")</f>
        <v>Dec</v>
      </c>
      <c r="D1296">
        <v>2024</v>
      </c>
      <c r="E1296" t="s">
        <v>1309</v>
      </c>
      <c r="F1296" t="s">
        <v>18</v>
      </c>
      <c r="G1296">
        <v>43</v>
      </c>
      <c r="H1296" t="s">
        <v>15</v>
      </c>
      <c r="I1296">
        <v>4</v>
      </c>
      <c r="J1296">
        <v>214</v>
      </c>
      <c r="K1296">
        <v>856</v>
      </c>
      <c r="L12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297" spans="1:12" x14ac:dyDescent="0.3">
      <c r="A1297">
        <v>1296</v>
      </c>
      <c r="B1297" s="1">
        <v>45489</v>
      </c>
      <c r="C1297" s="1" t="str">
        <f>TEXT(RetailStore[[#This Row],[Date]],"mmm")</f>
        <v>Jul</v>
      </c>
      <c r="D1297">
        <v>2024</v>
      </c>
      <c r="E1297" t="s">
        <v>1310</v>
      </c>
      <c r="F1297" t="s">
        <v>18</v>
      </c>
      <c r="G1297">
        <v>18</v>
      </c>
      <c r="H1297" t="s">
        <v>20</v>
      </c>
      <c r="I1297">
        <v>3</v>
      </c>
      <c r="J1297">
        <v>204</v>
      </c>
      <c r="K1297">
        <v>612</v>
      </c>
      <c r="L12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298" spans="1:12" x14ac:dyDescent="0.3">
      <c r="A1298">
        <v>1297</v>
      </c>
      <c r="B1298" s="1">
        <v>45449</v>
      </c>
      <c r="C1298" s="1" t="str">
        <f>TEXT(RetailStore[[#This Row],[Date]],"mmm")</f>
        <v>Jun</v>
      </c>
      <c r="D1298">
        <v>2024</v>
      </c>
      <c r="E1298" t="s">
        <v>1311</v>
      </c>
      <c r="F1298" t="s">
        <v>18</v>
      </c>
      <c r="G1298">
        <v>53</v>
      </c>
      <c r="H1298" t="s">
        <v>15</v>
      </c>
      <c r="I1298">
        <v>2</v>
      </c>
      <c r="J1298">
        <v>397</v>
      </c>
      <c r="K1298">
        <v>794</v>
      </c>
      <c r="L12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299" spans="1:12" x14ac:dyDescent="0.3">
      <c r="A1299">
        <v>1298</v>
      </c>
      <c r="B1299" s="1">
        <v>45519</v>
      </c>
      <c r="C1299" s="1" t="str">
        <f>TEXT(RetailStore[[#This Row],[Date]],"mmm")</f>
        <v>Aug</v>
      </c>
      <c r="D1299">
        <v>2024</v>
      </c>
      <c r="E1299" t="s">
        <v>1312</v>
      </c>
      <c r="F1299" t="s">
        <v>18</v>
      </c>
      <c r="G1299">
        <v>46</v>
      </c>
      <c r="H1299" t="s">
        <v>20</v>
      </c>
      <c r="I1299">
        <v>2</v>
      </c>
      <c r="J1299">
        <v>437</v>
      </c>
      <c r="K1299">
        <v>874</v>
      </c>
      <c r="L12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00" spans="1:12" x14ac:dyDescent="0.3">
      <c r="A1300">
        <v>1299</v>
      </c>
      <c r="B1300" s="1">
        <v>45509</v>
      </c>
      <c r="C1300" s="1" t="str">
        <f>TEXT(RetailStore[[#This Row],[Date]],"mmm")</f>
        <v>Aug</v>
      </c>
      <c r="D1300">
        <v>2024</v>
      </c>
      <c r="E1300" t="s">
        <v>1313</v>
      </c>
      <c r="F1300" t="s">
        <v>18</v>
      </c>
      <c r="G1300">
        <v>26</v>
      </c>
      <c r="H1300" t="s">
        <v>12</v>
      </c>
      <c r="I1300">
        <v>1</v>
      </c>
      <c r="J1300">
        <v>98</v>
      </c>
      <c r="K1300">
        <v>98</v>
      </c>
      <c r="L13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01" spans="1:12" x14ac:dyDescent="0.3">
      <c r="A1301">
        <v>1300</v>
      </c>
      <c r="B1301" s="1">
        <v>45398</v>
      </c>
      <c r="C1301" s="1" t="str">
        <f>TEXT(RetailStore[[#This Row],[Date]],"mmm")</f>
        <v>Apr</v>
      </c>
      <c r="D1301">
        <v>2024</v>
      </c>
      <c r="E1301" t="s">
        <v>1314</v>
      </c>
      <c r="F1301" t="s">
        <v>18</v>
      </c>
      <c r="G1301">
        <v>48</v>
      </c>
      <c r="H1301" t="s">
        <v>12</v>
      </c>
      <c r="I1301">
        <v>3</v>
      </c>
      <c r="J1301">
        <v>58</v>
      </c>
      <c r="K1301">
        <v>174</v>
      </c>
      <c r="L13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02" spans="1:12" x14ac:dyDescent="0.3">
      <c r="A1302">
        <v>1301</v>
      </c>
      <c r="B1302" s="1">
        <v>45594</v>
      </c>
      <c r="C1302" s="1" t="str">
        <f>TEXT(RetailStore[[#This Row],[Date]],"mmm")</f>
        <v>Oct</v>
      </c>
      <c r="D1302">
        <v>2024</v>
      </c>
      <c r="E1302" t="s">
        <v>1315</v>
      </c>
      <c r="F1302" t="s">
        <v>18</v>
      </c>
      <c r="G1302">
        <v>23</v>
      </c>
      <c r="H1302" t="s">
        <v>15</v>
      </c>
      <c r="I1302">
        <v>4</v>
      </c>
      <c r="J1302">
        <v>352</v>
      </c>
      <c r="K1302">
        <v>1408</v>
      </c>
      <c r="L13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03" spans="1:12" x14ac:dyDescent="0.3">
      <c r="A1303">
        <v>1302</v>
      </c>
      <c r="B1303" s="1">
        <v>45431</v>
      </c>
      <c r="C1303" s="1" t="str">
        <f>TEXT(RetailStore[[#This Row],[Date]],"mmm")</f>
        <v>May</v>
      </c>
      <c r="D1303">
        <v>2024</v>
      </c>
      <c r="E1303" t="s">
        <v>1316</v>
      </c>
      <c r="F1303" t="s">
        <v>18</v>
      </c>
      <c r="G1303">
        <v>29</v>
      </c>
      <c r="H1303" t="s">
        <v>12</v>
      </c>
      <c r="I1303">
        <v>4</v>
      </c>
      <c r="J1303">
        <v>388</v>
      </c>
      <c r="K1303">
        <v>1552</v>
      </c>
      <c r="L13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04" spans="1:12" x14ac:dyDescent="0.3">
      <c r="A1304">
        <v>1303</v>
      </c>
      <c r="B1304" s="1">
        <v>45582</v>
      </c>
      <c r="C1304" s="1" t="str">
        <f>TEXT(RetailStore[[#This Row],[Date]],"mmm")</f>
        <v>Oct</v>
      </c>
      <c r="D1304">
        <v>2024</v>
      </c>
      <c r="E1304" t="s">
        <v>1317</v>
      </c>
      <c r="F1304" t="s">
        <v>11</v>
      </c>
      <c r="G1304">
        <v>30</v>
      </c>
      <c r="H1304" t="s">
        <v>15</v>
      </c>
      <c r="I1304">
        <v>4</v>
      </c>
      <c r="J1304">
        <v>173</v>
      </c>
      <c r="K1304">
        <v>692</v>
      </c>
      <c r="L13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05" spans="1:12" x14ac:dyDescent="0.3">
      <c r="A1305">
        <v>1304</v>
      </c>
      <c r="B1305" s="1">
        <v>45575</v>
      </c>
      <c r="C1305" s="1" t="str">
        <f>TEXT(RetailStore[[#This Row],[Date]],"mmm")</f>
        <v>Oct</v>
      </c>
      <c r="D1305">
        <v>2024</v>
      </c>
      <c r="E1305" t="s">
        <v>1318</v>
      </c>
      <c r="F1305" t="s">
        <v>18</v>
      </c>
      <c r="G1305">
        <v>20</v>
      </c>
      <c r="H1305" t="s">
        <v>20</v>
      </c>
      <c r="I1305">
        <v>3</v>
      </c>
      <c r="J1305">
        <v>277</v>
      </c>
      <c r="K1305">
        <v>831</v>
      </c>
      <c r="L13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06" spans="1:12" x14ac:dyDescent="0.3">
      <c r="A1306">
        <v>1305</v>
      </c>
      <c r="B1306" s="1">
        <v>45578</v>
      </c>
      <c r="C1306" s="1" t="str">
        <f>TEXT(RetailStore[[#This Row],[Date]],"mmm")</f>
        <v>Oct</v>
      </c>
      <c r="D1306">
        <v>2024</v>
      </c>
      <c r="E1306" t="s">
        <v>1319</v>
      </c>
      <c r="F1306" t="s">
        <v>18</v>
      </c>
      <c r="G1306">
        <v>32</v>
      </c>
      <c r="H1306" t="s">
        <v>15</v>
      </c>
      <c r="I1306">
        <v>1</v>
      </c>
      <c r="J1306">
        <v>103</v>
      </c>
      <c r="K1306">
        <v>103</v>
      </c>
      <c r="L13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07" spans="1:12" x14ac:dyDescent="0.3">
      <c r="A1307">
        <v>1306</v>
      </c>
      <c r="B1307" s="1">
        <v>45426</v>
      </c>
      <c r="C1307" s="1" t="str">
        <f>TEXT(RetailStore[[#This Row],[Date]],"mmm")</f>
        <v>May</v>
      </c>
      <c r="D1307">
        <v>2024</v>
      </c>
      <c r="E1307" t="s">
        <v>1320</v>
      </c>
      <c r="F1307" t="s">
        <v>18</v>
      </c>
      <c r="G1307">
        <v>58</v>
      </c>
      <c r="H1307" t="s">
        <v>12</v>
      </c>
      <c r="I1307">
        <v>4</v>
      </c>
      <c r="J1307">
        <v>88</v>
      </c>
      <c r="K1307">
        <v>352</v>
      </c>
      <c r="L13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08" spans="1:12" x14ac:dyDescent="0.3">
      <c r="A1308">
        <v>1307</v>
      </c>
      <c r="B1308" s="1">
        <v>45626</v>
      </c>
      <c r="C1308" s="1" t="str">
        <f>TEXT(RetailStore[[#This Row],[Date]],"mmm")</f>
        <v>Nov</v>
      </c>
      <c r="D1308">
        <v>2024</v>
      </c>
      <c r="E1308" t="s">
        <v>1321</v>
      </c>
      <c r="F1308" t="s">
        <v>18</v>
      </c>
      <c r="G1308">
        <v>44</v>
      </c>
      <c r="H1308" t="s">
        <v>15</v>
      </c>
      <c r="I1308">
        <v>4</v>
      </c>
      <c r="J1308">
        <v>489</v>
      </c>
      <c r="K1308">
        <v>1956</v>
      </c>
      <c r="L13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09" spans="1:12" x14ac:dyDescent="0.3">
      <c r="A1309">
        <v>1308</v>
      </c>
      <c r="B1309" s="1">
        <v>45644</v>
      </c>
      <c r="C1309" s="1" t="str">
        <f>TEXT(RetailStore[[#This Row],[Date]],"mmm")</f>
        <v>Dec</v>
      </c>
      <c r="D1309">
        <v>2024</v>
      </c>
      <c r="E1309" t="s">
        <v>1322</v>
      </c>
      <c r="F1309" t="s">
        <v>11</v>
      </c>
      <c r="G1309">
        <v>19</v>
      </c>
      <c r="H1309" t="s">
        <v>15</v>
      </c>
      <c r="I1309">
        <v>3</v>
      </c>
      <c r="J1309">
        <v>277</v>
      </c>
      <c r="K1309">
        <v>831</v>
      </c>
      <c r="L13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10" spans="1:12" x14ac:dyDescent="0.3">
      <c r="A1310">
        <v>1309</v>
      </c>
      <c r="B1310" s="1">
        <v>45326</v>
      </c>
      <c r="C1310" s="1" t="str">
        <f>TEXT(RetailStore[[#This Row],[Date]],"mmm")</f>
        <v>Feb</v>
      </c>
      <c r="D1310">
        <v>2024</v>
      </c>
      <c r="E1310" t="s">
        <v>1323</v>
      </c>
      <c r="F1310" t="s">
        <v>18</v>
      </c>
      <c r="G1310">
        <v>55</v>
      </c>
      <c r="H1310" t="s">
        <v>20</v>
      </c>
      <c r="I1310">
        <v>4</v>
      </c>
      <c r="J1310">
        <v>469</v>
      </c>
      <c r="K1310">
        <v>1876</v>
      </c>
      <c r="L13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11" spans="1:12" x14ac:dyDescent="0.3">
      <c r="A1311">
        <v>1310</v>
      </c>
      <c r="B1311" s="1">
        <v>45424</v>
      </c>
      <c r="C1311" s="1" t="str">
        <f>TEXT(RetailStore[[#This Row],[Date]],"mmm")</f>
        <v>May</v>
      </c>
      <c r="D1311">
        <v>2024</v>
      </c>
      <c r="E1311" t="s">
        <v>1324</v>
      </c>
      <c r="F1311" t="s">
        <v>18</v>
      </c>
      <c r="G1311">
        <v>62</v>
      </c>
      <c r="H1311" t="s">
        <v>15</v>
      </c>
      <c r="I1311">
        <v>3</v>
      </c>
      <c r="J1311">
        <v>287</v>
      </c>
      <c r="K1311">
        <v>861</v>
      </c>
      <c r="L13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12" spans="1:12" x14ac:dyDescent="0.3">
      <c r="A1312">
        <v>1311</v>
      </c>
      <c r="B1312" s="1">
        <v>45586</v>
      </c>
      <c r="C1312" s="1" t="str">
        <f>TEXT(RetailStore[[#This Row],[Date]],"mmm")</f>
        <v>Oct</v>
      </c>
      <c r="D1312">
        <v>2024</v>
      </c>
      <c r="E1312" t="s">
        <v>1325</v>
      </c>
      <c r="F1312" t="s">
        <v>11</v>
      </c>
      <c r="G1312">
        <v>34</v>
      </c>
      <c r="H1312" t="s">
        <v>15</v>
      </c>
      <c r="I1312">
        <v>1</v>
      </c>
      <c r="J1312">
        <v>99</v>
      </c>
      <c r="K1312">
        <v>99</v>
      </c>
      <c r="L13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13" spans="1:12" x14ac:dyDescent="0.3">
      <c r="A1313">
        <v>1312</v>
      </c>
      <c r="B1313" s="1">
        <v>45455</v>
      </c>
      <c r="C1313" s="1" t="str">
        <f>TEXT(RetailStore[[#This Row],[Date]],"mmm")</f>
        <v>Jun</v>
      </c>
      <c r="D1313">
        <v>2024</v>
      </c>
      <c r="E1313" t="s">
        <v>1326</v>
      </c>
      <c r="F1313" t="s">
        <v>18</v>
      </c>
      <c r="G1313">
        <v>62</v>
      </c>
      <c r="H1313" t="s">
        <v>15</v>
      </c>
      <c r="I1313">
        <v>3</v>
      </c>
      <c r="J1313">
        <v>108</v>
      </c>
      <c r="K1313">
        <v>324</v>
      </c>
      <c r="L13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14" spans="1:12" x14ac:dyDescent="0.3">
      <c r="A1314">
        <v>1313</v>
      </c>
      <c r="B1314" s="1">
        <v>45319</v>
      </c>
      <c r="C1314" s="1" t="str">
        <f>TEXT(RetailStore[[#This Row],[Date]],"mmm")</f>
        <v>Jan</v>
      </c>
      <c r="D1314">
        <v>2024</v>
      </c>
      <c r="E1314" t="s">
        <v>1327</v>
      </c>
      <c r="F1314" t="s">
        <v>18</v>
      </c>
      <c r="G1314">
        <v>41</v>
      </c>
      <c r="H1314" t="s">
        <v>20</v>
      </c>
      <c r="I1314">
        <v>3</v>
      </c>
      <c r="J1314">
        <v>49</v>
      </c>
      <c r="K1314">
        <v>147</v>
      </c>
      <c r="L13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15" spans="1:12" x14ac:dyDescent="0.3">
      <c r="A1315">
        <v>1314</v>
      </c>
      <c r="B1315" s="1">
        <v>45440</v>
      </c>
      <c r="C1315" s="1" t="str">
        <f>TEXT(RetailStore[[#This Row],[Date]],"mmm")</f>
        <v>May</v>
      </c>
      <c r="D1315">
        <v>2024</v>
      </c>
      <c r="E1315" t="s">
        <v>1328</v>
      </c>
      <c r="F1315" t="s">
        <v>18</v>
      </c>
      <c r="G1315">
        <v>51</v>
      </c>
      <c r="H1315" t="s">
        <v>12</v>
      </c>
      <c r="I1315">
        <v>1</v>
      </c>
      <c r="J1315">
        <v>288</v>
      </c>
      <c r="K1315">
        <v>288</v>
      </c>
      <c r="L13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16" spans="1:12" x14ac:dyDescent="0.3">
      <c r="A1316">
        <v>1315</v>
      </c>
      <c r="B1316" s="1">
        <v>45391</v>
      </c>
      <c r="C1316" s="1" t="str">
        <f>TEXT(RetailStore[[#This Row],[Date]],"mmm")</f>
        <v>Apr</v>
      </c>
      <c r="D1316">
        <v>2024</v>
      </c>
      <c r="E1316" t="s">
        <v>1329</v>
      </c>
      <c r="F1316" t="s">
        <v>11</v>
      </c>
      <c r="G1316">
        <v>24</v>
      </c>
      <c r="H1316" t="s">
        <v>12</v>
      </c>
      <c r="I1316">
        <v>2</v>
      </c>
      <c r="J1316">
        <v>303</v>
      </c>
      <c r="K1316">
        <v>606</v>
      </c>
      <c r="L13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17" spans="1:12" x14ac:dyDescent="0.3">
      <c r="A1317">
        <v>1316</v>
      </c>
      <c r="B1317" s="1">
        <v>45457</v>
      </c>
      <c r="C1317" s="1" t="str">
        <f>TEXT(RetailStore[[#This Row],[Date]],"mmm")</f>
        <v>Jun</v>
      </c>
      <c r="D1317">
        <v>2024</v>
      </c>
      <c r="E1317" t="s">
        <v>1330</v>
      </c>
      <c r="F1317" t="s">
        <v>18</v>
      </c>
      <c r="G1317">
        <v>61</v>
      </c>
      <c r="H1317" t="s">
        <v>20</v>
      </c>
      <c r="I1317">
        <v>3</v>
      </c>
      <c r="J1317">
        <v>375</v>
      </c>
      <c r="K1317">
        <v>1125</v>
      </c>
      <c r="L13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18" spans="1:12" x14ac:dyDescent="0.3">
      <c r="A1318">
        <v>1317</v>
      </c>
      <c r="B1318" s="1">
        <v>45649</v>
      </c>
      <c r="C1318" s="1" t="str">
        <f>TEXT(RetailStore[[#This Row],[Date]],"mmm")</f>
        <v>Dec</v>
      </c>
      <c r="D1318">
        <v>2024</v>
      </c>
      <c r="E1318" t="s">
        <v>1331</v>
      </c>
      <c r="F1318" t="s">
        <v>18</v>
      </c>
      <c r="G1318">
        <v>24</v>
      </c>
      <c r="H1318" t="s">
        <v>12</v>
      </c>
      <c r="I1318">
        <v>3</v>
      </c>
      <c r="J1318">
        <v>446</v>
      </c>
      <c r="K1318">
        <v>1338</v>
      </c>
      <c r="L13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19" spans="1:12" x14ac:dyDescent="0.3">
      <c r="A1319">
        <v>1318</v>
      </c>
      <c r="B1319" s="1">
        <v>45365</v>
      </c>
      <c r="C1319" s="1" t="str">
        <f>TEXT(RetailStore[[#This Row],[Date]],"mmm")</f>
        <v>Mar</v>
      </c>
      <c r="D1319">
        <v>2024</v>
      </c>
      <c r="E1319" t="s">
        <v>1332</v>
      </c>
      <c r="F1319" t="s">
        <v>11</v>
      </c>
      <c r="G1319">
        <v>26</v>
      </c>
      <c r="H1319" t="s">
        <v>12</v>
      </c>
      <c r="I1319">
        <v>3</v>
      </c>
      <c r="J1319">
        <v>215</v>
      </c>
      <c r="K1319">
        <v>645</v>
      </c>
      <c r="L13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20" spans="1:12" x14ac:dyDescent="0.3">
      <c r="A1320">
        <v>1319</v>
      </c>
      <c r="B1320" s="1">
        <v>45540</v>
      </c>
      <c r="C1320" s="1" t="str">
        <f>TEXT(RetailStore[[#This Row],[Date]],"mmm")</f>
        <v>Sep</v>
      </c>
      <c r="D1320">
        <v>2024</v>
      </c>
      <c r="E1320" t="s">
        <v>1333</v>
      </c>
      <c r="F1320" t="s">
        <v>18</v>
      </c>
      <c r="G1320">
        <v>39</v>
      </c>
      <c r="H1320" t="s">
        <v>15</v>
      </c>
      <c r="I1320">
        <v>1</v>
      </c>
      <c r="J1320">
        <v>136</v>
      </c>
      <c r="K1320">
        <v>136</v>
      </c>
      <c r="L13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21" spans="1:12" x14ac:dyDescent="0.3">
      <c r="A1321">
        <v>1320</v>
      </c>
      <c r="B1321" s="1">
        <v>45371</v>
      </c>
      <c r="C1321" s="1" t="str">
        <f>TEXT(RetailStore[[#This Row],[Date]],"mmm")</f>
        <v>Mar</v>
      </c>
      <c r="D1321">
        <v>2024</v>
      </c>
      <c r="E1321" t="s">
        <v>1334</v>
      </c>
      <c r="F1321" t="s">
        <v>11</v>
      </c>
      <c r="G1321">
        <v>30</v>
      </c>
      <c r="H1321" t="s">
        <v>12</v>
      </c>
      <c r="I1321">
        <v>1</v>
      </c>
      <c r="J1321">
        <v>238</v>
      </c>
      <c r="K1321">
        <v>238</v>
      </c>
      <c r="L13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22" spans="1:12" x14ac:dyDescent="0.3">
      <c r="A1322">
        <v>1321</v>
      </c>
      <c r="B1322" s="1">
        <v>45527</v>
      </c>
      <c r="C1322" s="1" t="str">
        <f>TEXT(RetailStore[[#This Row],[Date]],"mmm")</f>
        <v>Aug</v>
      </c>
      <c r="D1322">
        <v>2024</v>
      </c>
      <c r="E1322" t="s">
        <v>1335</v>
      </c>
      <c r="F1322" t="s">
        <v>11</v>
      </c>
      <c r="G1322">
        <v>25</v>
      </c>
      <c r="H1322" t="s">
        <v>15</v>
      </c>
      <c r="I1322">
        <v>1</v>
      </c>
      <c r="J1322">
        <v>270</v>
      </c>
      <c r="K1322">
        <v>270</v>
      </c>
      <c r="L13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23" spans="1:12" x14ac:dyDescent="0.3">
      <c r="A1323">
        <v>1322</v>
      </c>
      <c r="B1323" s="1">
        <v>45470</v>
      </c>
      <c r="C1323" s="1" t="str">
        <f>TEXT(RetailStore[[#This Row],[Date]],"mmm")</f>
        <v>Jun</v>
      </c>
      <c r="D1323">
        <v>2024</v>
      </c>
      <c r="E1323" t="s">
        <v>1336</v>
      </c>
      <c r="F1323" t="s">
        <v>18</v>
      </c>
      <c r="G1323">
        <v>62</v>
      </c>
      <c r="H1323" t="s">
        <v>20</v>
      </c>
      <c r="I1323">
        <v>2</v>
      </c>
      <c r="J1323">
        <v>443</v>
      </c>
      <c r="K1323">
        <v>886</v>
      </c>
      <c r="L13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24" spans="1:12" x14ac:dyDescent="0.3">
      <c r="A1324">
        <v>1323</v>
      </c>
      <c r="B1324" s="1">
        <v>45518</v>
      </c>
      <c r="C1324" s="1" t="str">
        <f>TEXT(RetailStore[[#This Row],[Date]],"mmm")</f>
        <v>Aug</v>
      </c>
      <c r="D1324">
        <v>2024</v>
      </c>
      <c r="E1324" t="s">
        <v>1337</v>
      </c>
      <c r="F1324" t="s">
        <v>18</v>
      </c>
      <c r="G1324">
        <v>29</v>
      </c>
      <c r="H1324" t="s">
        <v>12</v>
      </c>
      <c r="I1324">
        <v>3</v>
      </c>
      <c r="J1324">
        <v>39</v>
      </c>
      <c r="K1324">
        <v>117</v>
      </c>
      <c r="L13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25" spans="1:12" x14ac:dyDescent="0.3">
      <c r="A1325">
        <v>1324</v>
      </c>
      <c r="B1325" s="1">
        <v>45352</v>
      </c>
      <c r="C1325" s="1" t="str">
        <f>TEXT(RetailStore[[#This Row],[Date]],"mmm")</f>
        <v>Mar</v>
      </c>
      <c r="D1325">
        <v>2024</v>
      </c>
      <c r="E1325" t="s">
        <v>1338</v>
      </c>
      <c r="F1325" t="s">
        <v>11</v>
      </c>
      <c r="G1325">
        <v>26</v>
      </c>
      <c r="H1325" t="s">
        <v>12</v>
      </c>
      <c r="I1325">
        <v>2</v>
      </c>
      <c r="J1325">
        <v>377</v>
      </c>
      <c r="K1325">
        <v>754</v>
      </c>
      <c r="L13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26" spans="1:12" x14ac:dyDescent="0.3">
      <c r="A1326">
        <v>1325</v>
      </c>
      <c r="B1326" s="1">
        <v>45408</v>
      </c>
      <c r="C1326" s="1" t="str">
        <f>TEXT(RetailStore[[#This Row],[Date]],"mmm")</f>
        <v>Apr</v>
      </c>
      <c r="D1326">
        <v>2024</v>
      </c>
      <c r="E1326" t="s">
        <v>1339</v>
      </c>
      <c r="F1326" t="s">
        <v>18</v>
      </c>
      <c r="G1326">
        <v>26</v>
      </c>
      <c r="H1326" t="s">
        <v>15</v>
      </c>
      <c r="I1326">
        <v>2</v>
      </c>
      <c r="J1326">
        <v>65</v>
      </c>
      <c r="K1326">
        <v>130</v>
      </c>
      <c r="L13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27" spans="1:12" x14ac:dyDescent="0.3">
      <c r="A1327">
        <v>1326</v>
      </c>
      <c r="B1327" s="1">
        <v>45509</v>
      </c>
      <c r="C1327" s="1" t="str">
        <f>TEXT(RetailStore[[#This Row],[Date]],"mmm")</f>
        <v>Aug</v>
      </c>
      <c r="D1327">
        <v>2024</v>
      </c>
      <c r="E1327" t="s">
        <v>1340</v>
      </c>
      <c r="F1327" t="s">
        <v>11</v>
      </c>
      <c r="G1327">
        <v>22</v>
      </c>
      <c r="H1327" t="s">
        <v>15</v>
      </c>
      <c r="I1327">
        <v>4</v>
      </c>
      <c r="J1327">
        <v>412</v>
      </c>
      <c r="K1327">
        <v>1648</v>
      </c>
      <c r="L13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28" spans="1:12" x14ac:dyDescent="0.3">
      <c r="A1328">
        <v>1327</v>
      </c>
      <c r="B1328" s="1">
        <v>45512</v>
      </c>
      <c r="C1328" s="1" t="str">
        <f>TEXT(RetailStore[[#This Row],[Date]],"mmm")</f>
        <v>Aug</v>
      </c>
      <c r="D1328">
        <v>2024</v>
      </c>
      <c r="E1328" t="s">
        <v>1341</v>
      </c>
      <c r="F1328" t="s">
        <v>11</v>
      </c>
      <c r="G1328">
        <v>30</v>
      </c>
      <c r="H1328" t="s">
        <v>15</v>
      </c>
      <c r="I1328">
        <v>1</v>
      </c>
      <c r="J1328">
        <v>431</v>
      </c>
      <c r="K1328">
        <v>431</v>
      </c>
      <c r="L13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29" spans="1:12" x14ac:dyDescent="0.3">
      <c r="A1329">
        <v>1328</v>
      </c>
      <c r="B1329" s="1">
        <v>45629</v>
      </c>
      <c r="C1329" s="1" t="str">
        <f>TEXT(RetailStore[[#This Row],[Date]],"mmm")</f>
        <v>Dec</v>
      </c>
      <c r="D1329">
        <v>2024</v>
      </c>
      <c r="E1329" t="s">
        <v>1342</v>
      </c>
      <c r="F1329" t="s">
        <v>11</v>
      </c>
      <c r="G1329">
        <v>48</v>
      </c>
      <c r="H1329" t="s">
        <v>15</v>
      </c>
      <c r="I1329">
        <v>3</v>
      </c>
      <c r="J1329">
        <v>47</v>
      </c>
      <c r="K1329">
        <v>141</v>
      </c>
      <c r="L13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30" spans="1:12" x14ac:dyDescent="0.3">
      <c r="A1330">
        <v>1329</v>
      </c>
      <c r="B1330" s="1">
        <v>45325</v>
      </c>
      <c r="C1330" s="1" t="str">
        <f>TEXT(RetailStore[[#This Row],[Date]],"mmm")</f>
        <v>Feb</v>
      </c>
      <c r="D1330">
        <v>2024</v>
      </c>
      <c r="E1330" t="s">
        <v>1343</v>
      </c>
      <c r="F1330" t="s">
        <v>18</v>
      </c>
      <c r="G1330">
        <v>60</v>
      </c>
      <c r="H1330" t="s">
        <v>15</v>
      </c>
      <c r="I1330">
        <v>1</v>
      </c>
      <c r="J1330">
        <v>425</v>
      </c>
      <c r="K1330">
        <v>425</v>
      </c>
      <c r="L13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31" spans="1:12" x14ac:dyDescent="0.3">
      <c r="A1331">
        <v>1330</v>
      </c>
      <c r="B1331" s="1">
        <v>45355</v>
      </c>
      <c r="C1331" s="1" t="str">
        <f>TEXT(RetailStore[[#This Row],[Date]],"mmm")</f>
        <v>Mar</v>
      </c>
      <c r="D1331">
        <v>2024</v>
      </c>
      <c r="E1331" t="s">
        <v>1344</v>
      </c>
      <c r="F1331" t="s">
        <v>11</v>
      </c>
      <c r="G1331">
        <v>55</v>
      </c>
      <c r="H1331" t="s">
        <v>15</v>
      </c>
      <c r="I1331">
        <v>2</v>
      </c>
      <c r="J1331">
        <v>368</v>
      </c>
      <c r="K1331">
        <v>736</v>
      </c>
      <c r="L13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32" spans="1:12" x14ac:dyDescent="0.3">
      <c r="A1332">
        <v>1331</v>
      </c>
      <c r="B1332" s="1">
        <v>45471</v>
      </c>
      <c r="C1332" s="1" t="str">
        <f>TEXT(RetailStore[[#This Row],[Date]],"mmm")</f>
        <v>Jun</v>
      </c>
      <c r="D1332">
        <v>2024</v>
      </c>
      <c r="E1332" t="s">
        <v>1345</v>
      </c>
      <c r="F1332" t="s">
        <v>11</v>
      </c>
      <c r="G1332">
        <v>23</v>
      </c>
      <c r="H1332" t="s">
        <v>15</v>
      </c>
      <c r="I1332">
        <v>3</v>
      </c>
      <c r="J1332">
        <v>321</v>
      </c>
      <c r="K1332">
        <v>963</v>
      </c>
      <c r="L13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33" spans="1:12" x14ac:dyDescent="0.3">
      <c r="A1333">
        <v>1332</v>
      </c>
      <c r="B1333" s="1">
        <v>45470</v>
      </c>
      <c r="C1333" s="1" t="str">
        <f>TEXT(RetailStore[[#This Row],[Date]],"mmm")</f>
        <v>Jun</v>
      </c>
      <c r="D1333">
        <v>2024</v>
      </c>
      <c r="E1333" t="s">
        <v>1346</v>
      </c>
      <c r="F1333" t="s">
        <v>18</v>
      </c>
      <c r="G1333">
        <v>28</v>
      </c>
      <c r="H1333" t="s">
        <v>12</v>
      </c>
      <c r="I1333">
        <v>2</v>
      </c>
      <c r="J1333">
        <v>283</v>
      </c>
      <c r="K1333">
        <v>566</v>
      </c>
      <c r="L13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34" spans="1:12" x14ac:dyDescent="0.3">
      <c r="A1334">
        <v>1333</v>
      </c>
      <c r="B1334" s="1">
        <v>45583</v>
      </c>
      <c r="C1334" s="1" t="str">
        <f>TEXT(RetailStore[[#This Row],[Date]],"mmm")</f>
        <v>Oct</v>
      </c>
      <c r="D1334">
        <v>2024</v>
      </c>
      <c r="E1334" t="s">
        <v>1347</v>
      </c>
      <c r="F1334" t="s">
        <v>11</v>
      </c>
      <c r="G1334">
        <v>24</v>
      </c>
      <c r="H1334" t="s">
        <v>12</v>
      </c>
      <c r="I1334">
        <v>1</v>
      </c>
      <c r="J1334">
        <v>295</v>
      </c>
      <c r="K1334">
        <v>295</v>
      </c>
      <c r="L13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35" spans="1:12" x14ac:dyDescent="0.3">
      <c r="A1335">
        <v>1334</v>
      </c>
      <c r="B1335" s="1">
        <v>45403</v>
      </c>
      <c r="C1335" s="1" t="str">
        <f>TEXT(RetailStore[[#This Row],[Date]],"mmm")</f>
        <v>Apr</v>
      </c>
      <c r="D1335">
        <v>2024</v>
      </c>
      <c r="E1335" t="s">
        <v>1348</v>
      </c>
      <c r="F1335" t="s">
        <v>11</v>
      </c>
      <c r="G1335">
        <v>36</v>
      </c>
      <c r="H1335" t="s">
        <v>15</v>
      </c>
      <c r="I1335">
        <v>1</v>
      </c>
      <c r="J1335">
        <v>396</v>
      </c>
      <c r="K1335">
        <v>396</v>
      </c>
      <c r="L13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36" spans="1:12" x14ac:dyDescent="0.3">
      <c r="A1336">
        <v>1335</v>
      </c>
      <c r="B1336" s="1">
        <v>45342</v>
      </c>
      <c r="C1336" s="1" t="str">
        <f>TEXT(RetailStore[[#This Row],[Date]],"mmm")</f>
        <v>Feb</v>
      </c>
      <c r="D1336">
        <v>2024</v>
      </c>
      <c r="E1336" t="s">
        <v>1349</v>
      </c>
      <c r="F1336" t="s">
        <v>11</v>
      </c>
      <c r="G1336">
        <v>50</v>
      </c>
      <c r="H1336" t="s">
        <v>12</v>
      </c>
      <c r="I1336">
        <v>4</v>
      </c>
      <c r="J1336">
        <v>212</v>
      </c>
      <c r="K1336">
        <v>848</v>
      </c>
      <c r="L13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37" spans="1:12" x14ac:dyDescent="0.3">
      <c r="A1337">
        <v>1336</v>
      </c>
      <c r="B1337" s="1">
        <v>45649</v>
      </c>
      <c r="C1337" s="1" t="str">
        <f>TEXT(RetailStore[[#This Row],[Date]],"mmm")</f>
        <v>Dec</v>
      </c>
      <c r="D1337">
        <v>2024</v>
      </c>
      <c r="E1337" t="s">
        <v>1350</v>
      </c>
      <c r="F1337" t="s">
        <v>11</v>
      </c>
      <c r="G1337">
        <v>46</v>
      </c>
      <c r="H1337" t="s">
        <v>12</v>
      </c>
      <c r="I1337">
        <v>1</v>
      </c>
      <c r="J1337">
        <v>117</v>
      </c>
      <c r="K1337">
        <v>117</v>
      </c>
      <c r="L13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38" spans="1:12" x14ac:dyDescent="0.3">
      <c r="A1338">
        <v>1337</v>
      </c>
      <c r="B1338" s="1">
        <v>45473</v>
      </c>
      <c r="C1338" s="1" t="str">
        <f>TEXT(RetailStore[[#This Row],[Date]],"mmm")</f>
        <v>Jun</v>
      </c>
      <c r="D1338">
        <v>2024</v>
      </c>
      <c r="E1338" t="s">
        <v>1351</v>
      </c>
      <c r="F1338" t="s">
        <v>18</v>
      </c>
      <c r="G1338">
        <v>45</v>
      </c>
      <c r="H1338" t="s">
        <v>15</v>
      </c>
      <c r="I1338">
        <v>2</v>
      </c>
      <c r="J1338">
        <v>233</v>
      </c>
      <c r="K1338">
        <v>466</v>
      </c>
      <c r="L13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39" spans="1:12" x14ac:dyDescent="0.3">
      <c r="A1339">
        <v>1338</v>
      </c>
      <c r="B1339" s="1">
        <v>45349</v>
      </c>
      <c r="C1339" s="1" t="str">
        <f>TEXT(RetailStore[[#This Row],[Date]],"mmm")</f>
        <v>Feb</v>
      </c>
      <c r="D1339">
        <v>2024</v>
      </c>
      <c r="E1339" t="s">
        <v>1352</v>
      </c>
      <c r="F1339" t="s">
        <v>18</v>
      </c>
      <c r="G1339">
        <v>25</v>
      </c>
      <c r="H1339" t="s">
        <v>20</v>
      </c>
      <c r="I1339">
        <v>1</v>
      </c>
      <c r="J1339">
        <v>291</v>
      </c>
      <c r="K1339">
        <v>291</v>
      </c>
      <c r="L13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40" spans="1:12" x14ac:dyDescent="0.3">
      <c r="A1340">
        <v>1339</v>
      </c>
      <c r="B1340" s="1">
        <v>45361</v>
      </c>
      <c r="C1340" s="1" t="str">
        <f>TEXT(RetailStore[[#This Row],[Date]],"mmm")</f>
        <v>Mar</v>
      </c>
      <c r="D1340">
        <v>2024</v>
      </c>
      <c r="E1340" t="s">
        <v>1353</v>
      </c>
      <c r="F1340" t="s">
        <v>18</v>
      </c>
      <c r="G1340">
        <v>41</v>
      </c>
      <c r="H1340" t="s">
        <v>12</v>
      </c>
      <c r="I1340">
        <v>3</v>
      </c>
      <c r="J1340">
        <v>310</v>
      </c>
      <c r="K1340">
        <v>930</v>
      </c>
      <c r="L13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41" spans="1:12" x14ac:dyDescent="0.3">
      <c r="A1341">
        <v>1340</v>
      </c>
      <c r="B1341" s="1">
        <v>45312</v>
      </c>
      <c r="C1341" s="1" t="str">
        <f>TEXT(RetailStore[[#This Row],[Date]],"mmm")</f>
        <v>Jan</v>
      </c>
      <c r="D1341">
        <v>2024</v>
      </c>
      <c r="E1341" t="s">
        <v>1354</v>
      </c>
      <c r="F1341" t="s">
        <v>11</v>
      </c>
      <c r="G1341">
        <v>38</v>
      </c>
      <c r="H1341" t="s">
        <v>20</v>
      </c>
      <c r="I1341">
        <v>1</v>
      </c>
      <c r="J1341">
        <v>222</v>
      </c>
      <c r="K1341">
        <v>222</v>
      </c>
      <c r="L13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42" spans="1:12" x14ac:dyDescent="0.3">
      <c r="A1342">
        <v>1341</v>
      </c>
      <c r="B1342" s="1">
        <v>45437</v>
      </c>
      <c r="C1342" s="1" t="str">
        <f>TEXT(RetailStore[[#This Row],[Date]],"mmm")</f>
        <v>May</v>
      </c>
      <c r="D1342">
        <v>2024</v>
      </c>
      <c r="E1342" t="s">
        <v>1355</v>
      </c>
      <c r="F1342" t="s">
        <v>18</v>
      </c>
      <c r="G1342">
        <v>56</v>
      </c>
      <c r="H1342" t="s">
        <v>12</v>
      </c>
      <c r="I1342">
        <v>3</v>
      </c>
      <c r="J1342">
        <v>376</v>
      </c>
      <c r="K1342">
        <v>1128</v>
      </c>
      <c r="L13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43" spans="1:12" x14ac:dyDescent="0.3">
      <c r="A1343">
        <v>1342</v>
      </c>
      <c r="B1343" s="1">
        <v>45519</v>
      </c>
      <c r="C1343" s="1" t="str">
        <f>TEXT(RetailStore[[#This Row],[Date]],"mmm")</f>
        <v>Aug</v>
      </c>
      <c r="D1343">
        <v>2024</v>
      </c>
      <c r="E1343" t="s">
        <v>1356</v>
      </c>
      <c r="F1343" t="s">
        <v>11</v>
      </c>
      <c r="G1343">
        <v>53</v>
      </c>
      <c r="H1343" t="s">
        <v>20</v>
      </c>
      <c r="I1343">
        <v>3</v>
      </c>
      <c r="J1343">
        <v>462</v>
      </c>
      <c r="K1343">
        <v>1386</v>
      </c>
      <c r="L13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44" spans="1:12" x14ac:dyDescent="0.3">
      <c r="A1344">
        <v>1343</v>
      </c>
      <c r="B1344" s="1">
        <v>45511</v>
      </c>
      <c r="C1344" s="1" t="str">
        <f>TEXT(RetailStore[[#This Row],[Date]],"mmm")</f>
        <v>Aug</v>
      </c>
      <c r="D1344">
        <v>2024</v>
      </c>
      <c r="E1344" t="s">
        <v>1357</v>
      </c>
      <c r="F1344" t="s">
        <v>11</v>
      </c>
      <c r="G1344">
        <v>22</v>
      </c>
      <c r="H1344" t="s">
        <v>20</v>
      </c>
      <c r="I1344">
        <v>3</v>
      </c>
      <c r="J1344">
        <v>116</v>
      </c>
      <c r="K1344">
        <v>348</v>
      </c>
      <c r="L13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45" spans="1:12" x14ac:dyDescent="0.3">
      <c r="A1345">
        <v>1344</v>
      </c>
      <c r="B1345" s="1">
        <v>45298</v>
      </c>
      <c r="C1345" s="1" t="str">
        <f>TEXT(RetailStore[[#This Row],[Date]],"mmm")</f>
        <v>Jan</v>
      </c>
      <c r="D1345">
        <v>2024</v>
      </c>
      <c r="E1345" t="s">
        <v>1358</v>
      </c>
      <c r="F1345" t="s">
        <v>18</v>
      </c>
      <c r="G1345">
        <v>61</v>
      </c>
      <c r="H1345" t="s">
        <v>15</v>
      </c>
      <c r="I1345">
        <v>4</v>
      </c>
      <c r="J1345">
        <v>249</v>
      </c>
      <c r="K1345">
        <v>996</v>
      </c>
      <c r="L13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46" spans="1:12" x14ac:dyDescent="0.3">
      <c r="A1346">
        <v>1345</v>
      </c>
      <c r="B1346" s="1">
        <v>45559</v>
      </c>
      <c r="C1346" s="1" t="str">
        <f>TEXT(RetailStore[[#This Row],[Date]],"mmm")</f>
        <v>Sep</v>
      </c>
      <c r="D1346">
        <v>2024</v>
      </c>
      <c r="E1346" t="s">
        <v>1359</v>
      </c>
      <c r="F1346" t="s">
        <v>11</v>
      </c>
      <c r="G1346">
        <v>25</v>
      </c>
      <c r="H1346" t="s">
        <v>15</v>
      </c>
      <c r="I1346">
        <v>4</v>
      </c>
      <c r="J1346">
        <v>230</v>
      </c>
      <c r="K1346">
        <v>920</v>
      </c>
      <c r="L13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47" spans="1:12" x14ac:dyDescent="0.3">
      <c r="A1347">
        <v>1346</v>
      </c>
      <c r="B1347" s="1">
        <v>45647</v>
      </c>
      <c r="C1347" s="1" t="str">
        <f>TEXT(RetailStore[[#This Row],[Date]],"mmm")</f>
        <v>Dec</v>
      </c>
      <c r="D1347">
        <v>2024</v>
      </c>
      <c r="E1347" t="s">
        <v>1360</v>
      </c>
      <c r="F1347" t="s">
        <v>11</v>
      </c>
      <c r="G1347">
        <v>28</v>
      </c>
      <c r="H1347" t="s">
        <v>15</v>
      </c>
      <c r="I1347">
        <v>3</v>
      </c>
      <c r="J1347">
        <v>126</v>
      </c>
      <c r="K1347">
        <v>378</v>
      </c>
      <c r="L13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48" spans="1:12" x14ac:dyDescent="0.3">
      <c r="A1348">
        <v>1347</v>
      </c>
      <c r="B1348" s="1">
        <v>45465</v>
      </c>
      <c r="C1348" s="1" t="str">
        <f>TEXT(RetailStore[[#This Row],[Date]],"mmm")</f>
        <v>Jun</v>
      </c>
      <c r="D1348">
        <v>2024</v>
      </c>
      <c r="E1348" t="s">
        <v>1361</v>
      </c>
      <c r="F1348" t="s">
        <v>11</v>
      </c>
      <c r="G1348">
        <v>56</v>
      </c>
      <c r="H1348" t="s">
        <v>20</v>
      </c>
      <c r="I1348">
        <v>1</v>
      </c>
      <c r="J1348">
        <v>144</v>
      </c>
      <c r="K1348">
        <v>144</v>
      </c>
      <c r="L13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49" spans="1:12" x14ac:dyDescent="0.3">
      <c r="A1349">
        <v>1348</v>
      </c>
      <c r="B1349" s="1">
        <v>45509</v>
      </c>
      <c r="C1349" s="1" t="str">
        <f>TEXT(RetailStore[[#This Row],[Date]],"mmm")</f>
        <v>Aug</v>
      </c>
      <c r="D1349">
        <v>2024</v>
      </c>
      <c r="E1349" t="s">
        <v>1362</v>
      </c>
      <c r="F1349" t="s">
        <v>18</v>
      </c>
      <c r="G1349">
        <v>35</v>
      </c>
      <c r="H1349" t="s">
        <v>12</v>
      </c>
      <c r="I1349">
        <v>3</v>
      </c>
      <c r="J1349">
        <v>412</v>
      </c>
      <c r="K1349">
        <v>1236</v>
      </c>
      <c r="L13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50" spans="1:12" x14ac:dyDescent="0.3">
      <c r="A1350">
        <v>1349</v>
      </c>
      <c r="B1350" s="1">
        <v>45621</v>
      </c>
      <c r="C1350" s="1" t="str">
        <f>TEXT(RetailStore[[#This Row],[Date]],"mmm")</f>
        <v>Nov</v>
      </c>
      <c r="D1350">
        <v>2024</v>
      </c>
      <c r="E1350" t="s">
        <v>1363</v>
      </c>
      <c r="F1350" t="s">
        <v>18</v>
      </c>
      <c r="G1350">
        <v>40</v>
      </c>
      <c r="H1350" t="s">
        <v>20</v>
      </c>
      <c r="I1350">
        <v>4</v>
      </c>
      <c r="J1350">
        <v>273</v>
      </c>
      <c r="K1350">
        <v>1092</v>
      </c>
      <c r="L13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51" spans="1:12" x14ac:dyDescent="0.3">
      <c r="A1351">
        <v>1350</v>
      </c>
      <c r="B1351" s="1">
        <v>45553</v>
      </c>
      <c r="C1351" s="1" t="str">
        <f>TEXT(RetailStore[[#This Row],[Date]],"mmm")</f>
        <v>Sep</v>
      </c>
      <c r="D1351">
        <v>2024</v>
      </c>
      <c r="E1351" t="s">
        <v>1364</v>
      </c>
      <c r="F1351" t="s">
        <v>18</v>
      </c>
      <c r="G1351">
        <v>27</v>
      </c>
      <c r="H1351" t="s">
        <v>20</v>
      </c>
      <c r="I1351">
        <v>1</v>
      </c>
      <c r="J1351">
        <v>87</v>
      </c>
      <c r="K1351">
        <v>87</v>
      </c>
      <c r="L13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52" spans="1:12" x14ac:dyDescent="0.3">
      <c r="A1352">
        <v>1351</v>
      </c>
      <c r="B1352" s="1">
        <v>45420</v>
      </c>
      <c r="C1352" s="1" t="str">
        <f>TEXT(RetailStore[[#This Row],[Date]],"mmm")</f>
        <v>May</v>
      </c>
      <c r="D1352">
        <v>2024</v>
      </c>
      <c r="E1352" t="s">
        <v>1365</v>
      </c>
      <c r="F1352" t="s">
        <v>18</v>
      </c>
      <c r="G1352">
        <v>49</v>
      </c>
      <c r="H1352" t="s">
        <v>15</v>
      </c>
      <c r="I1352">
        <v>2</v>
      </c>
      <c r="J1352">
        <v>40</v>
      </c>
      <c r="K1352">
        <v>80</v>
      </c>
      <c r="L13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53" spans="1:12" x14ac:dyDescent="0.3">
      <c r="A1353">
        <v>1352</v>
      </c>
      <c r="B1353" s="1">
        <v>45342</v>
      </c>
      <c r="C1353" s="1" t="str">
        <f>TEXT(RetailStore[[#This Row],[Date]],"mmm")</f>
        <v>Feb</v>
      </c>
      <c r="D1353">
        <v>2024</v>
      </c>
      <c r="E1353" t="s">
        <v>1366</v>
      </c>
      <c r="F1353" t="s">
        <v>11</v>
      </c>
      <c r="G1353">
        <v>22</v>
      </c>
      <c r="H1353" t="s">
        <v>20</v>
      </c>
      <c r="I1353">
        <v>1</v>
      </c>
      <c r="J1353">
        <v>116</v>
      </c>
      <c r="K1353">
        <v>116</v>
      </c>
      <c r="L13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54" spans="1:12" x14ac:dyDescent="0.3">
      <c r="A1354">
        <v>1353</v>
      </c>
      <c r="B1354" s="1">
        <v>45487</v>
      </c>
      <c r="C1354" s="1" t="str">
        <f>TEXT(RetailStore[[#This Row],[Date]],"mmm")</f>
        <v>Jul</v>
      </c>
      <c r="D1354">
        <v>2024</v>
      </c>
      <c r="E1354" t="s">
        <v>1367</v>
      </c>
      <c r="F1354" t="s">
        <v>18</v>
      </c>
      <c r="G1354">
        <v>27</v>
      </c>
      <c r="H1354" t="s">
        <v>20</v>
      </c>
      <c r="I1354">
        <v>1</v>
      </c>
      <c r="J1354">
        <v>414</v>
      </c>
      <c r="K1354">
        <v>414</v>
      </c>
      <c r="L13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55" spans="1:12" x14ac:dyDescent="0.3">
      <c r="A1355">
        <v>1354</v>
      </c>
      <c r="B1355" s="1">
        <v>45331</v>
      </c>
      <c r="C1355" s="1" t="str">
        <f>TEXT(RetailStore[[#This Row],[Date]],"mmm")</f>
        <v>Feb</v>
      </c>
      <c r="D1355">
        <v>2024</v>
      </c>
      <c r="E1355" t="s">
        <v>1368</v>
      </c>
      <c r="F1355" t="s">
        <v>18</v>
      </c>
      <c r="G1355">
        <v>47</v>
      </c>
      <c r="H1355" t="s">
        <v>15</v>
      </c>
      <c r="I1355">
        <v>3</v>
      </c>
      <c r="J1355">
        <v>363</v>
      </c>
      <c r="K1355">
        <v>1089</v>
      </c>
      <c r="L13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56" spans="1:12" x14ac:dyDescent="0.3">
      <c r="A1356">
        <v>1355</v>
      </c>
      <c r="B1356" s="1">
        <v>45546</v>
      </c>
      <c r="C1356" s="1" t="str">
        <f>TEXT(RetailStore[[#This Row],[Date]],"mmm")</f>
        <v>Sep</v>
      </c>
      <c r="D1356">
        <v>2024</v>
      </c>
      <c r="E1356" t="s">
        <v>1369</v>
      </c>
      <c r="F1356" t="s">
        <v>18</v>
      </c>
      <c r="G1356">
        <v>50</v>
      </c>
      <c r="H1356" t="s">
        <v>20</v>
      </c>
      <c r="I1356">
        <v>3</v>
      </c>
      <c r="J1356">
        <v>439</v>
      </c>
      <c r="K1356">
        <v>1317</v>
      </c>
      <c r="L13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57" spans="1:12" x14ac:dyDescent="0.3">
      <c r="A1357">
        <v>1356</v>
      </c>
      <c r="B1357" s="1">
        <v>45568</v>
      </c>
      <c r="C1357" s="1" t="str">
        <f>TEXT(RetailStore[[#This Row],[Date]],"mmm")</f>
        <v>Oct</v>
      </c>
      <c r="D1357">
        <v>2024</v>
      </c>
      <c r="E1357" t="s">
        <v>1370</v>
      </c>
      <c r="F1357" t="s">
        <v>11</v>
      </c>
      <c r="G1357">
        <v>20</v>
      </c>
      <c r="H1357" t="s">
        <v>20</v>
      </c>
      <c r="I1357">
        <v>1</v>
      </c>
      <c r="J1357">
        <v>221</v>
      </c>
      <c r="K1357">
        <v>221</v>
      </c>
      <c r="L13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58" spans="1:12" x14ac:dyDescent="0.3">
      <c r="A1358">
        <v>1357</v>
      </c>
      <c r="B1358" s="1">
        <v>45522</v>
      </c>
      <c r="C1358" s="1" t="str">
        <f>TEXT(RetailStore[[#This Row],[Date]],"mmm")</f>
        <v>Aug</v>
      </c>
      <c r="D1358">
        <v>2024</v>
      </c>
      <c r="E1358" t="s">
        <v>1371</v>
      </c>
      <c r="F1358" t="s">
        <v>18</v>
      </c>
      <c r="G1358">
        <v>42</v>
      </c>
      <c r="H1358" t="s">
        <v>20</v>
      </c>
      <c r="I1358">
        <v>4</v>
      </c>
      <c r="J1358">
        <v>43</v>
      </c>
      <c r="K1358">
        <v>172</v>
      </c>
      <c r="L13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59" spans="1:12" x14ac:dyDescent="0.3">
      <c r="A1359">
        <v>1358</v>
      </c>
      <c r="B1359" s="1">
        <v>45308</v>
      </c>
      <c r="C1359" s="1" t="str">
        <f>TEXT(RetailStore[[#This Row],[Date]],"mmm")</f>
        <v>Jan</v>
      </c>
      <c r="D1359">
        <v>2024</v>
      </c>
      <c r="E1359" t="s">
        <v>1372</v>
      </c>
      <c r="F1359" t="s">
        <v>11</v>
      </c>
      <c r="G1359">
        <v>53</v>
      </c>
      <c r="H1359" t="s">
        <v>12</v>
      </c>
      <c r="I1359">
        <v>3</v>
      </c>
      <c r="J1359">
        <v>477</v>
      </c>
      <c r="K1359">
        <v>1431</v>
      </c>
      <c r="L13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60" spans="1:12" x14ac:dyDescent="0.3">
      <c r="A1360">
        <v>1359</v>
      </c>
      <c r="B1360" s="1">
        <v>45653</v>
      </c>
      <c r="C1360" s="1" t="str">
        <f>TEXT(RetailStore[[#This Row],[Date]],"mmm")</f>
        <v>Dec</v>
      </c>
      <c r="D1360">
        <v>2024</v>
      </c>
      <c r="E1360" t="s">
        <v>1373</v>
      </c>
      <c r="F1360" t="s">
        <v>11</v>
      </c>
      <c r="G1360">
        <v>49</v>
      </c>
      <c r="H1360" t="s">
        <v>20</v>
      </c>
      <c r="I1360">
        <v>2</v>
      </c>
      <c r="J1360">
        <v>184</v>
      </c>
      <c r="K1360">
        <v>368</v>
      </c>
      <c r="L13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61" spans="1:12" x14ac:dyDescent="0.3">
      <c r="A1361">
        <v>1360</v>
      </c>
      <c r="B1361" s="1">
        <v>45491</v>
      </c>
      <c r="C1361" s="1" t="str">
        <f>TEXT(RetailStore[[#This Row],[Date]],"mmm")</f>
        <v>Jul</v>
      </c>
      <c r="D1361">
        <v>2024</v>
      </c>
      <c r="E1361" t="s">
        <v>1374</v>
      </c>
      <c r="F1361" t="s">
        <v>18</v>
      </c>
      <c r="G1361">
        <v>25</v>
      </c>
      <c r="H1361" t="s">
        <v>12</v>
      </c>
      <c r="I1361">
        <v>4</v>
      </c>
      <c r="J1361">
        <v>362</v>
      </c>
      <c r="K1361">
        <v>1448</v>
      </c>
      <c r="L13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62" spans="1:12" x14ac:dyDescent="0.3">
      <c r="A1362">
        <v>1361</v>
      </c>
      <c r="B1362" s="1">
        <v>45575</v>
      </c>
      <c r="C1362" s="1" t="str">
        <f>TEXT(RetailStore[[#This Row],[Date]],"mmm")</f>
        <v>Oct</v>
      </c>
      <c r="D1362">
        <v>2024</v>
      </c>
      <c r="E1362" t="s">
        <v>1375</v>
      </c>
      <c r="F1362" t="s">
        <v>18</v>
      </c>
      <c r="G1362">
        <v>48</v>
      </c>
      <c r="H1362" t="s">
        <v>12</v>
      </c>
      <c r="I1362">
        <v>2</v>
      </c>
      <c r="J1362">
        <v>284</v>
      </c>
      <c r="K1362">
        <v>568</v>
      </c>
      <c r="L13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63" spans="1:12" x14ac:dyDescent="0.3">
      <c r="A1363">
        <v>1362</v>
      </c>
      <c r="B1363" s="1">
        <v>45320</v>
      </c>
      <c r="C1363" s="1" t="str">
        <f>TEXT(RetailStore[[#This Row],[Date]],"mmm")</f>
        <v>Jan</v>
      </c>
      <c r="D1363">
        <v>2024</v>
      </c>
      <c r="E1363" t="s">
        <v>1376</v>
      </c>
      <c r="F1363" t="s">
        <v>18</v>
      </c>
      <c r="G1363">
        <v>34</v>
      </c>
      <c r="H1363" t="s">
        <v>20</v>
      </c>
      <c r="I1363">
        <v>4</v>
      </c>
      <c r="J1363">
        <v>340</v>
      </c>
      <c r="K1363">
        <v>1360</v>
      </c>
      <c r="L13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64" spans="1:12" x14ac:dyDescent="0.3">
      <c r="A1364">
        <v>1363</v>
      </c>
      <c r="B1364" s="1">
        <v>45638</v>
      </c>
      <c r="C1364" s="1" t="str">
        <f>TEXT(RetailStore[[#This Row],[Date]],"mmm")</f>
        <v>Dec</v>
      </c>
      <c r="D1364">
        <v>2024</v>
      </c>
      <c r="E1364" t="s">
        <v>1377</v>
      </c>
      <c r="F1364" t="s">
        <v>18</v>
      </c>
      <c r="G1364">
        <v>36</v>
      </c>
      <c r="H1364" t="s">
        <v>20</v>
      </c>
      <c r="I1364">
        <v>1</v>
      </c>
      <c r="J1364">
        <v>39</v>
      </c>
      <c r="K1364">
        <v>39</v>
      </c>
      <c r="L13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65" spans="1:12" x14ac:dyDescent="0.3">
      <c r="A1365">
        <v>1364</v>
      </c>
      <c r="B1365" s="1">
        <v>45594</v>
      </c>
      <c r="C1365" s="1" t="str">
        <f>TEXT(RetailStore[[#This Row],[Date]],"mmm")</f>
        <v>Oct</v>
      </c>
      <c r="D1365">
        <v>2024</v>
      </c>
      <c r="E1365" t="s">
        <v>1378</v>
      </c>
      <c r="F1365" t="s">
        <v>11</v>
      </c>
      <c r="G1365">
        <v>26</v>
      </c>
      <c r="H1365" t="s">
        <v>20</v>
      </c>
      <c r="I1365">
        <v>3</v>
      </c>
      <c r="J1365">
        <v>439</v>
      </c>
      <c r="K1365">
        <v>1317</v>
      </c>
      <c r="L13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66" spans="1:12" x14ac:dyDescent="0.3">
      <c r="A1366">
        <v>1365</v>
      </c>
      <c r="B1366" s="1">
        <v>45590</v>
      </c>
      <c r="C1366" s="1" t="str">
        <f>TEXT(RetailStore[[#This Row],[Date]],"mmm")</f>
        <v>Oct</v>
      </c>
      <c r="D1366">
        <v>2024</v>
      </c>
      <c r="E1366" t="s">
        <v>1379</v>
      </c>
      <c r="F1366" t="s">
        <v>11</v>
      </c>
      <c r="G1366">
        <v>58</v>
      </c>
      <c r="H1366" t="s">
        <v>20</v>
      </c>
      <c r="I1366">
        <v>4</v>
      </c>
      <c r="J1366">
        <v>74</v>
      </c>
      <c r="K1366">
        <v>296</v>
      </c>
      <c r="L13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67" spans="1:12" x14ac:dyDescent="0.3">
      <c r="A1367">
        <v>1366</v>
      </c>
      <c r="B1367" s="1">
        <v>45511</v>
      </c>
      <c r="C1367" s="1" t="str">
        <f>TEXT(RetailStore[[#This Row],[Date]],"mmm")</f>
        <v>Aug</v>
      </c>
      <c r="D1367">
        <v>2024</v>
      </c>
      <c r="E1367" t="s">
        <v>1380</v>
      </c>
      <c r="F1367" t="s">
        <v>18</v>
      </c>
      <c r="G1367">
        <v>40</v>
      </c>
      <c r="H1367" t="s">
        <v>20</v>
      </c>
      <c r="I1367">
        <v>3</v>
      </c>
      <c r="J1367">
        <v>53</v>
      </c>
      <c r="K1367">
        <v>159</v>
      </c>
      <c r="L13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68" spans="1:12" x14ac:dyDescent="0.3">
      <c r="A1368">
        <v>1367</v>
      </c>
      <c r="B1368" s="1">
        <v>45630</v>
      </c>
      <c r="C1368" s="1" t="str">
        <f>TEXT(RetailStore[[#This Row],[Date]],"mmm")</f>
        <v>Dec</v>
      </c>
      <c r="D1368">
        <v>2024</v>
      </c>
      <c r="E1368" t="s">
        <v>1381</v>
      </c>
      <c r="F1368" t="s">
        <v>11</v>
      </c>
      <c r="G1368">
        <v>33</v>
      </c>
      <c r="H1368" t="s">
        <v>15</v>
      </c>
      <c r="I1368">
        <v>3</v>
      </c>
      <c r="J1368">
        <v>328</v>
      </c>
      <c r="K1368">
        <v>984</v>
      </c>
      <c r="L13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69" spans="1:12" x14ac:dyDescent="0.3">
      <c r="A1369">
        <v>1368</v>
      </c>
      <c r="B1369" s="1">
        <v>45335</v>
      </c>
      <c r="C1369" s="1" t="str">
        <f>TEXT(RetailStore[[#This Row],[Date]],"mmm")</f>
        <v>Feb</v>
      </c>
      <c r="D1369">
        <v>2024</v>
      </c>
      <c r="E1369" t="s">
        <v>1382</v>
      </c>
      <c r="F1369" t="s">
        <v>11</v>
      </c>
      <c r="G1369">
        <v>37</v>
      </c>
      <c r="H1369" t="s">
        <v>15</v>
      </c>
      <c r="I1369">
        <v>3</v>
      </c>
      <c r="J1369">
        <v>111</v>
      </c>
      <c r="K1369">
        <v>333</v>
      </c>
      <c r="L13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70" spans="1:12" x14ac:dyDescent="0.3">
      <c r="A1370">
        <v>1369</v>
      </c>
      <c r="B1370" s="1">
        <v>45302</v>
      </c>
      <c r="C1370" s="1" t="str">
        <f>TEXT(RetailStore[[#This Row],[Date]],"mmm")</f>
        <v>Jan</v>
      </c>
      <c r="D1370">
        <v>2024</v>
      </c>
      <c r="E1370" t="s">
        <v>1383</v>
      </c>
      <c r="F1370" t="s">
        <v>18</v>
      </c>
      <c r="G1370">
        <v>20</v>
      </c>
      <c r="H1370" t="s">
        <v>20</v>
      </c>
      <c r="I1370">
        <v>4</v>
      </c>
      <c r="J1370">
        <v>315</v>
      </c>
      <c r="K1370">
        <v>1260</v>
      </c>
      <c r="L13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71" spans="1:12" x14ac:dyDescent="0.3">
      <c r="A1371">
        <v>1370</v>
      </c>
      <c r="B1371" s="1">
        <v>45555</v>
      </c>
      <c r="C1371" s="1" t="str">
        <f>TEXT(RetailStore[[#This Row],[Date]],"mmm")</f>
        <v>Sep</v>
      </c>
      <c r="D1371">
        <v>2024</v>
      </c>
      <c r="E1371" t="s">
        <v>1384</v>
      </c>
      <c r="F1371" t="s">
        <v>18</v>
      </c>
      <c r="G1371">
        <v>35</v>
      </c>
      <c r="H1371" t="s">
        <v>15</v>
      </c>
      <c r="I1371">
        <v>4</v>
      </c>
      <c r="J1371">
        <v>326</v>
      </c>
      <c r="K1371">
        <v>1304</v>
      </c>
      <c r="L13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2" spans="1:12" x14ac:dyDescent="0.3">
      <c r="A1372">
        <v>1371</v>
      </c>
      <c r="B1372" s="1">
        <v>45303</v>
      </c>
      <c r="C1372" s="1" t="str">
        <f>TEXT(RetailStore[[#This Row],[Date]],"mmm")</f>
        <v>Jan</v>
      </c>
      <c r="D1372">
        <v>2024</v>
      </c>
      <c r="E1372" t="s">
        <v>1385</v>
      </c>
      <c r="F1372" t="s">
        <v>18</v>
      </c>
      <c r="G1372">
        <v>42</v>
      </c>
      <c r="H1372" t="s">
        <v>12</v>
      </c>
      <c r="I1372">
        <v>4</v>
      </c>
      <c r="J1372">
        <v>190</v>
      </c>
      <c r="K1372">
        <v>760</v>
      </c>
      <c r="L13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73" spans="1:12" x14ac:dyDescent="0.3">
      <c r="A1373">
        <v>1372</v>
      </c>
      <c r="B1373" s="1">
        <v>45585</v>
      </c>
      <c r="C1373" s="1" t="str">
        <f>TEXT(RetailStore[[#This Row],[Date]],"mmm")</f>
        <v>Oct</v>
      </c>
      <c r="D1373">
        <v>2024</v>
      </c>
      <c r="E1373" t="s">
        <v>1386</v>
      </c>
      <c r="F1373" t="s">
        <v>11</v>
      </c>
      <c r="G1373">
        <v>49</v>
      </c>
      <c r="H1373" t="s">
        <v>15</v>
      </c>
      <c r="I1373">
        <v>2</v>
      </c>
      <c r="J1373">
        <v>197</v>
      </c>
      <c r="K1373">
        <v>394</v>
      </c>
      <c r="L13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4" spans="1:12" x14ac:dyDescent="0.3">
      <c r="A1374">
        <v>1373</v>
      </c>
      <c r="B1374" s="1">
        <v>45546</v>
      </c>
      <c r="C1374" s="1" t="str">
        <f>TEXT(RetailStore[[#This Row],[Date]],"mmm")</f>
        <v>Sep</v>
      </c>
      <c r="D1374">
        <v>2024</v>
      </c>
      <c r="E1374" t="s">
        <v>1387</v>
      </c>
      <c r="F1374" t="s">
        <v>18</v>
      </c>
      <c r="G1374">
        <v>28</v>
      </c>
      <c r="H1374" t="s">
        <v>12</v>
      </c>
      <c r="I1374">
        <v>3</v>
      </c>
      <c r="J1374">
        <v>211</v>
      </c>
      <c r="K1374">
        <v>633</v>
      </c>
      <c r="L13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5" spans="1:12" x14ac:dyDescent="0.3">
      <c r="A1375">
        <v>1374</v>
      </c>
      <c r="B1375" s="1">
        <v>45515</v>
      </c>
      <c r="C1375" s="1" t="str">
        <f>TEXT(RetailStore[[#This Row],[Date]],"mmm")</f>
        <v>Aug</v>
      </c>
      <c r="D1375">
        <v>2024</v>
      </c>
      <c r="E1375" t="s">
        <v>1388</v>
      </c>
      <c r="F1375" t="s">
        <v>11</v>
      </c>
      <c r="G1375">
        <v>49</v>
      </c>
      <c r="H1375" t="s">
        <v>12</v>
      </c>
      <c r="I1375">
        <v>1</v>
      </c>
      <c r="J1375">
        <v>455</v>
      </c>
      <c r="K1375">
        <v>455</v>
      </c>
      <c r="L13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6" spans="1:12" x14ac:dyDescent="0.3">
      <c r="A1376">
        <v>1375</v>
      </c>
      <c r="B1376" s="1">
        <v>45566</v>
      </c>
      <c r="C1376" s="1" t="str">
        <f>TEXT(RetailStore[[#This Row],[Date]],"mmm")</f>
        <v>Oct</v>
      </c>
      <c r="D1376">
        <v>2024</v>
      </c>
      <c r="E1376" t="s">
        <v>1389</v>
      </c>
      <c r="F1376" t="s">
        <v>11</v>
      </c>
      <c r="G1376">
        <v>36</v>
      </c>
      <c r="H1376" t="s">
        <v>20</v>
      </c>
      <c r="I1376">
        <v>1</v>
      </c>
      <c r="J1376">
        <v>177</v>
      </c>
      <c r="K1376">
        <v>177</v>
      </c>
      <c r="L13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7" spans="1:12" x14ac:dyDescent="0.3">
      <c r="A1377">
        <v>1376</v>
      </c>
      <c r="B1377" s="1">
        <v>45585</v>
      </c>
      <c r="C1377" s="1" t="str">
        <f>TEXT(RetailStore[[#This Row],[Date]],"mmm")</f>
        <v>Oct</v>
      </c>
      <c r="D1377">
        <v>2024</v>
      </c>
      <c r="E1377" t="s">
        <v>1390</v>
      </c>
      <c r="F1377" t="s">
        <v>18</v>
      </c>
      <c r="G1377">
        <v>32</v>
      </c>
      <c r="H1377" t="s">
        <v>12</v>
      </c>
      <c r="I1377">
        <v>1</v>
      </c>
      <c r="J1377">
        <v>392</v>
      </c>
      <c r="K1377">
        <v>392</v>
      </c>
      <c r="L13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8" spans="1:12" x14ac:dyDescent="0.3">
      <c r="A1378">
        <v>1377</v>
      </c>
      <c r="B1378" s="1">
        <v>45588</v>
      </c>
      <c r="C1378" s="1" t="str">
        <f>TEXT(RetailStore[[#This Row],[Date]],"mmm")</f>
        <v>Oct</v>
      </c>
      <c r="D1378">
        <v>2024</v>
      </c>
      <c r="E1378" t="s">
        <v>1391</v>
      </c>
      <c r="F1378" t="s">
        <v>11</v>
      </c>
      <c r="G1378">
        <v>55</v>
      </c>
      <c r="H1378" t="s">
        <v>20</v>
      </c>
      <c r="I1378">
        <v>3</v>
      </c>
      <c r="J1378">
        <v>59</v>
      </c>
      <c r="K1378">
        <v>177</v>
      </c>
      <c r="L13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79" spans="1:12" x14ac:dyDescent="0.3">
      <c r="A1379">
        <v>1378</v>
      </c>
      <c r="B1379" s="1">
        <v>45582</v>
      </c>
      <c r="C1379" s="1" t="str">
        <f>TEXT(RetailStore[[#This Row],[Date]],"mmm")</f>
        <v>Oct</v>
      </c>
      <c r="D1379">
        <v>2024</v>
      </c>
      <c r="E1379" t="s">
        <v>1392</v>
      </c>
      <c r="F1379" t="s">
        <v>18</v>
      </c>
      <c r="G1379">
        <v>45</v>
      </c>
      <c r="H1379" t="s">
        <v>15</v>
      </c>
      <c r="I1379">
        <v>3</v>
      </c>
      <c r="J1379">
        <v>432</v>
      </c>
      <c r="K1379">
        <v>1296</v>
      </c>
      <c r="L13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80" spans="1:12" x14ac:dyDescent="0.3">
      <c r="A1380">
        <v>1379</v>
      </c>
      <c r="B1380" s="1">
        <v>45331</v>
      </c>
      <c r="C1380" s="1" t="str">
        <f>TEXT(RetailStore[[#This Row],[Date]],"mmm")</f>
        <v>Feb</v>
      </c>
      <c r="D1380">
        <v>2024</v>
      </c>
      <c r="E1380" t="s">
        <v>1393</v>
      </c>
      <c r="F1380" t="s">
        <v>18</v>
      </c>
      <c r="G1380">
        <v>50</v>
      </c>
      <c r="H1380" t="s">
        <v>20</v>
      </c>
      <c r="I1380">
        <v>4</v>
      </c>
      <c r="J1380">
        <v>364</v>
      </c>
      <c r="K1380">
        <v>1456</v>
      </c>
      <c r="L13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81" spans="1:12" x14ac:dyDescent="0.3">
      <c r="A1381">
        <v>1380</v>
      </c>
      <c r="B1381" s="1">
        <v>45568</v>
      </c>
      <c r="C1381" s="1" t="str">
        <f>TEXT(RetailStore[[#This Row],[Date]],"mmm")</f>
        <v>Oct</v>
      </c>
      <c r="D1381">
        <v>2024</v>
      </c>
      <c r="E1381" t="s">
        <v>1394</v>
      </c>
      <c r="F1381" t="s">
        <v>18</v>
      </c>
      <c r="G1381">
        <v>30</v>
      </c>
      <c r="H1381" t="s">
        <v>20</v>
      </c>
      <c r="I1381">
        <v>4</v>
      </c>
      <c r="J1381">
        <v>153</v>
      </c>
      <c r="K1381">
        <v>612</v>
      </c>
      <c r="L13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82" spans="1:12" x14ac:dyDescent="0.3">
      <c r="A1382">
        <v>1381</v>
      </c>
      <c r="B1382" s="1">
        <v>45611</v>
      </c>
      <c r="C1382" s="1" t="str">
        <f>TEXT(RetailStore[[#This Row],[Date]],"mmm")</f>
        <v>Nov</v>
      </c>
      <c r="D1382">
        <v>2024</v>
      </c>
      <c r="E1382" t="s">
        <v>1395</v>
      </c>
      <c r="F1382" t="s">
        <v>18</v>
      </c>
      <c r="G1382">
        <v>60</v>
      </c>
      <c r="H1382" t="s">
        <v>12</v>
      </c>
      <c r="I1382">
        <v>2</v>
      </c>
      <c r="J1382">
        <v>476</v>
      </c>
      <c r="K1382">
        <v>952</v>
      </c>
      <c r="L13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83" spans="1:12" x14ac:dyDescent="0.3">
      <c r="A1383">
        <v>1382</v>
      </c>
      <c r="B1383" s="1">
        <v>45301</v>
      </c>
      <c r="C1383" s="1" t="str">
        <f>TEXT(RetailStore[[#This Row],[Date]],"mmm")</f>
        <v>Jan</v>
      </c>
      <c r="D1383">
        <v>2024</v>
      </c>
      <c r="E1383" t="s">
        <v>1396</v>
      </c>
      <c r="F1383" t="s">
        <v>11</v>
      </c>
      <c r="G1383">
        <v>54</v>
      </c>
      <c r="H1383" t="s">
        <v>20</v>
      </c>
      <c r="I1383">
        <v>2</v>
      </c>
      <c r="J1383">
        <v>363</v>
      </c>
      <c r="K1383">
        <v>726</v>
      </c>
      <c r="L13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84" spans="1:12" x14ac:dyDescent="0.3">
      <c r="A1384">
        <v>1383</v>
      </c>
      <c r="B1384" s="1">
        <v>45531</v>
      </c>
      <c r="C1384" s="1" t="str">
        <f>TEXT(RetailStore[[#This Row],[Date]],"mmm")</f>
        <v>Aug</v>
      </c>
      <c r="D1384">
        <v>2024</v>
      </c>
      <c r="E1384" t="s">
        <v>1397</v>
      </c>
      <c r="F1384" t="s">
        <v>18</v>
      </c>
      <c r="G1384">
        <v>58</v>
      </c>
      <c r="H1384" t="s">
        <v>12</v>
      </c>
      <c r="I1384">
        <v>4</v>
      </c>
      <c r="J1384">
        <v>314</v>
      </c>
      <c r="K1384">
        <v>1256</v>
      </c>
      <c r="L13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85" spans="1:12" x14ac:dyDescent="0.3">
      <c r="A1385">
        <v>1384</v>
      </c>
      <c r="B1385" s="1">
        <v>45612</v>
      </c>
      <c r="C1385" s="1" t="str">
        <f>TEXT(RetailStore[[#This Row],[Date]],"mmm")</f>
        <v>Nov</v>
      </c>
      <c r="D1385">
        <v>2024</v>
      </c>
      <c r="E1385" t="s">
        <v>1398</v>
      </c>
      <c r="F1385" t="s">
        <v>11</v>
      </c>
      <c r="G1385">
        <v>51</v>
      </c>
      <c r="H1385" t="s">
        <v>15</v>
      </c>
      <c r="I1385">
        <v>3</v>
      </c>
      <c r="J1385">
        <v>261</v>
      </c>
      <c r="K1385">
        <v>783</v>
      </c>
      <c r="L13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86" spans="1:12" x14ac:dyDescent="0.3">
      <c r="A1386">
        <v>1385</v>
      </c>
      <c r="B1386" s="1">
        <v>45367</v>
      </c>
      <c r="C1386" s="1" t="str">
        <f>TEXT(RetailStore[[#This Row],[Date]],"mmm")</f>
        <v>Mar</v>
      </c>
      <c r="D1386">
        <v>2024</v>
      </c>
      <c r="E1386" t="s">
        <v>1399</v>
      </c>
      <c r="F1386" t="s">
        <v>11</v>
      </c>
      <c r="G1386">
        <v>27</v>
      </c>
      <c r="H1386" t="s">
        <v>12</v>
      </c>
      <c r="I1386">
        <v>3</v>
      </c>
      <c r="J1386">
        <v>457</v>
      </c>
      <c r="K1386">
        <v>1371</v>
      </c>
      <c r="L13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87" spans="1:12" x14ac:dyDescent="0.3">
      <c r="A1387">
        <v>1386</v>
      </c>
      <c r="B1387" s="1">
        <v>45514</v>
      </c>
      <c r="C1387" s="1" t="str">
        <f>TEXT(RetailStore[[#This Row],[Date]],"mmm")</f>
        <v>Aug</v>
      </c>
      <c r="D1387">
        <v>2024</v>
      </c>
      <c r="E1387" t="s">
        <v>1400</v>
      </c>
      <c r="F1387" t="s">
        <v>18</v>
      </c>
      <c r="G1387">
        <v>38</v>
      </c>
      <c r="H1387" t="s">
        <v>15</v>
      </c>
      <c r="I1387">
        <v>2</v>
      </c>
      <c r="J1387">
        <v>458</v>
      </c>
      <c r="K1387">
        <v>916</v>
      </c>
      <c r="L13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88" spans="1:12" x14ac:dyDescent="0.3">
      <c r="A1388">
        <v>1387</v>
      </c>
      <c r="B1388" s="1">
        <v>45503</v>
      </c>
      <c r="C1388" s="1" t="str">
        <f>TEXT(RetailStore[[#This Row],[Date]],"mmm")</f>
        <v>Jul</v>
      </c>
      <c r="D1388">
        <v>2024</v>
      </c>
      <c r="E1388" t="s">
        <v>1401</v>
      </c>
      <c r="F1388" t="s">
        <v>18</v>
      </c>
      <c r="G1388">
        <v>36</v>
      </c>
      <c r="H1388" t="s">
        <v>12</v>
      </c>
      <c r="I1388">
        <v>2</v>
      </c>
      <c r="J1388">
        <v>156</v>
      </c>
      <c r="K1388">
        <v>312</v>
      </c>
      <c r="L13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89" spans="1:12" x14ac:dyDescent="0.3">
      <c r="A1389">
        <v>1388</v>
      </c>
      <c r="B1389" s="1">
        <v>45643</v>
      </c>
      <c r="C1389" s="1" t="str">
        <f>TEXT(RetailStore[[#This Row],[Date]],"mmm")</f>
        <v>Dec</v>
      </c>
      <c r="D1389">
        <v>2024</v>
      </c>
      <c r="E1389" t="s">
        <v>1402</v>
      </c>
      <c r="F1389" t="s">
        <v>11</v>
      </c>
      <c r="G1389">
        <v>43</v>
      </c>
      <c r="H1389" t="s">
        <v>15</v>
      </c>
      <c r="I1389">
        <v>1</v>
      </c>
      <c r="J1389">
        <v>101</v>
      </c>
      <c r="K1389">
        <v>101</v>
      </c>
      <c r="L13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90" spans="1:12" x14ac:dyDescent="0.3">
      <c r="A1390">
        <v>1389</v>
      </c>
      <c r="B1390" s="1">
        <v>45390</v>
      </c>
      <c r="C1390" s="1" t="str">
        <f>TEXT(RetailStore[[#This Row],[Date]],"mmm")</f>
        <v>Apr</v>
      </c>
      <c r="D1390">
        <v>2024</v>
      </c>
      <c r="E1390" t="s">
        <v>1403</v>
      </c>
      <c r="F1390" t="s">
        <v>11</v>
      </c>
      <c r="G1390">
        <v>33</v>
      </c>
      <c r="H1390" t="s">
        <v>20</v>
      </c>
      <c r="I1390">
        <v>4</v>
      </c>
      <c r="J1390">
        <v>273</v>
      </c>
      <c r="K1390">
        <v>1092</v>
      </c>
      <c r="L13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91" spans="1:12" x14ac:dyDescent="0.3">
      <c r="A1391">
        <v>1390</v>
      </c>
      <c r="B1391" s="1">
        <v>45578</v>
      </c>
      <c r="C1391" s="1" t="str">
        <f>TEXT(RetailStore[[#This Row],[Date]],"mmm")</f>
        <v>Oct</v>
      </c>
      <c r="D1391">
        <v>2024</v>
      </c>
      <c r="E1391" t="s">
        <v>1404</v>
      </c>
      <c r="F1391" t="s">
        <v>18</v>
      </c>
      <c r="G1391">
        <v>45</v>
      </c>
      <c r="H1391" t="s">
        <v>12</v>
      </c>
      <c r="I1391">
        <v>1</v>
      </c>
      <c r="J1391">
        <v>128</v>
      </c>
      <c r="K1391">
        <v>128</v>
      </c>
      <c r="L13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392" spans="1:12" x14ac:dyDescent="0.3">
      <c r="A1392">
        <v>1391</v>
      </c>
      <c r="B1392" s="1">
        <v>45373</v>
      </c>
      <c r="C1392" s="1" t="str">
        <f>TEXT(RetailStore[[#This Row],[Date]],"mmm")</f>
        <v>Mar</v>
      </c>
      <c r="D1392">
        <v>2024</v>
      </c>
      <c r="E1392" t="s">
        <v>1405</v>
      </c>
      <c r="F1392" t="s">
        <v>18</v>
      </c>
      <c r="G1392">
        <v>26</v>
      </c>
      <c r="H1392" t="s">
        <v>15</v>
      </c>
      <c r="I1392">
        <v>3</v>
      </c>
      <c r="J1392">
        <v>429</v>
      </c>
      <c r="K1392">
        <v>1287</v>
      </c>
      <c r="L13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93" spans="1:12" x14ac:dyDescent="0.3">
      <c r="A1393">
        <v>1392</v>
      </c>
      <c r="B1393" s="1">
        <v>45434</v>
      </c>
      <c r="C1393" s="1" t="str">
        <f>TEXT(RetailStore[[#This Row],[Date]],"mmm")</f>
        <v>May</v>
      </c>
      <c r="D1393">
        <v>2024</v>
      </c>
      <c r="E1393" t="s">
        <v>1406</v>
      </c>
      <c r="F1393" t="s">
        <v>11</v>
      </c>
      <c r="G1393">
        <v>59</v>
      </c>
      <c r="H1393" t="s">
        <v>15</v>
      </c>
      <c r="I1393">
        <v>4</v>
      </c>
      <c r="J1393">
        <v>425</v>
      </c>
      <c r="K1393">
        <v>1700</v>
      </c>
      <c r="L13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94" spans="1:12" x14ac:dyDescent="0.3">
      <c r="A1394">
        <v>1393</v>
      </c>
      <c r="B1394" s="1">
        <v>45302</v>
      </c>
      <c r="C1394" s="1" t="str">
        <f>TEXT(RetailStore[[#This Row],[Date]],"mmm")</f>
        <v>Jan</v>
      </c>
      <c r="D1394">
        <v>2024</v>
      </c>
      <c r="E1394" t="s">
        <v>1407</v>
      </c>
      <c r="F1394" t="s">
        <v>11</v>
      </c>
      <c r="G1394">
        <v>23</v>
      </c>
      <c r="H1394" t="s">
        <v>20</v>
      </c>
      <c r="I1394">
        <v>3</v>
      </c>
      <c r="J1394">
        <v>468</v>
      </c>
      <c r="K1394">
        <v>1404</v>
      </c>
      <c r="L13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95" spans="1:12" x14ac:dyDescent="0.3">
      <c r="A1395">
        <v>1394</v>
      </c>
      <c r="B1395" s="1">
        <v>45324</v>
      </c>
      <c r="C1395" s="1" t="str">
        <f>TEXT(RetailStore[[#This Row],[Date]],"mmm")</f>
        <v>Feb</v>
      </c>
      <c r="D1395">
        <v>2024</v>
      </c>
      <c r="E1395" t="s">
        <v>1408</v>
      </c>
      <c r="F1395" t="s">
        <v>18</v>
      </c>
      <c r="G1395">
        <v>41</v>
      </c>
      <c r="H1395" t="s">
        <v>12</v>
      </c>
      <c r="I1395">
        <v>1</v>
      </c>
      <c r="J1395">
        <v>228</v>
      </c>
      <c r="K1395">
        <v>228</v>
      </c>
      <c r="L13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96" spans="1:12" x14ac:dyDescent="0.3">
      <c r="A1396">
        <v>1395</v>
      </c>
      <c r="B1396" s="1">
        <v>45363</v>
      </c>
      <c r="C1396" s="1" t="str">
        <f>TEXT(RetailStore[[#This Row],[Date]],"mmm")</f>
        <v>Mar</v>
      </c>
      <c r="D1396">
        <v>2024</v>
      </c>
      <c r="E1396" t="s">
        <v>1409</v>
      </c>
      <c r="F1396" t="s">
        <v>11</v>
      </c>
      <c r="G1396">
        <v>25</v>
      </c>
      <c r="H1396" t="s">
        <v>12</v>
      </c>
      <c r="I1396">
        <v>1</v>
      </c>
      <c r="J1396">
        <v>292</v>
      </c>
      <c r="K1396">
        <v>292</v>
      </c>
      <c r="L13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97" spans="1:12" x14ac:dyDescent="0.3">
      <c r="A1397">
        <v>1396</v>
      </c>
      <c r="B1397" s="1">
        <v>45632</v>
      </c>
      <c r="C1397" s="1" t="str">
        <f>TEXT(RetailStore[[#This Row],[Date]],"mmm")</f>
        <v>Dec</v>
      </c>
      <c r="D1397">
        <v>2024</v>
      </c>
      <c r="E1397" t="s">
        <v>1410</v>
      </c>
      <c r="F1397" t="s">
        <v>18</v>
      </c>
      <c r="G1397">
        <v>49</v>
      </c>
      <c r="H1397" t="s">
        <v>15</v>
      </c>
      <c r="I1397">
        <v>2</v>
      </c>
      <c r="J1397">
        <v>332</v>
      </c>
      <c r="K1397">
        <v>664</v>
      </c>
      <c r="L13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398" spans="1:12" x14ac:dyDescent="0.3">
      <c r="A1398">
        <v>1397</v>
      </c>
      <c r="B1398" s="1">
        <v>45354</v>
      </c>
      <c r="C1398" s="1" t="str">
        <f>TEXT(RetailStore[[#This Row],[Date]],"mmm")</f>
        <v>Mar</v>
      </c>
      <c r="D1398">
        <v>2024</v>
      </c>
      <c r="E1398" t="s">
        <v>1411</v>
      </c>
      <c r="F1398" t="s">
        <v>18</v>
      </c>
      <c r="G1398">
        <v>39</v>
      </c>
      <c r="H1398" t="s">
        <v>12</v>
      </c>
      <c r="I1398">
        <v>4</v>
      </c>
      <c r="J1398">
        <v>437</v>
      </c>
      <c r="K1398">
        <v>1748</v>
      </c>
      <c r="L13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399" spans="1:12" x14ac:dyDescent="0.3">
      <c r="A1399">
        <v>1398</v>
      </c>
      <c r="B1399" s="1">
        <v>45412</v>
      </c>
      <c r="C1399" s="1" t="str">
        <f>TEXT(RetailStore[[#This Row],[Date]],"mmm")</f>
        <v>Apr</v>
      </c>
      <c r="D1399">
        <v>2024</v>
      </c>
      <c r="E1399" t="s">
        <v>1412</v>
      </c>
      <c r="F1399" t="s">
        <v>18</v>
      </c>
      <c r="G1399">
        <v>31</v>
      </c>
      <c r="H1399" t="s">
        <v>15</v>
      </c>
      <c r="I1399">
        <v>1</v>
      </c>
      <c r="J1399">
        <v>114</v>
      </c>
      <c r="K1399">
        <v>114</v>
      </c>
      <c r="L13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00" spans="1:12" x14ac:dyDescent="0.3">
      <c r="A1400">
        <v>1399</v>
      </c>
      <c r="B1400" s="1">
        <v>45401</v>
      </c>
      <c r="C1400" s="1" t="str">
        <f>TEXT(RetailStore[[#This Row],[Date]],"mmm")</f>
        <v>Apr</v>
      </c>
      <c r="D1400">
        <v>2024</v>
      </c>
      <c r="E1400" t="s">
        <v>1413</v>
      </c>
      <c r="F1400" t="s">
        <v>18</v>
      </c>
      <c r="G1400">
        <v>46</v>
      </c>
      <c r="H1400" t="s">
        <v>20</v>
      </c>
      <c r="I1400">
        <v>3</v>
      </c>
      <c r="J1400">
        <v>466</v>
      </c>
      <c r="K1400">
        <v>1398</v>
      </c>
      <c r="L14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01" spans="1:12" x14ac:dyDescent="0.3">
      <c r="A1401">
        <v>1400</v>
      </c>
      <c r="B1401" s="1">
        <v>45593</v>
      </c>
      <c r="C1401" s="1" t="str">
        <f>TEXT(RetailStore[[#This Row],[Date]],"mmm")</f>
        <v>Oct</v>
      </c>
      <c r="D1401">
        <v>2024</v>
      </c>
      <c r="E1401" t="s">
        <v>1414</v>
      </c>
      <c r="F1401" t="s">
        <v>11</v>
      </c>
      <c r="G1401">
        <v>49</v>
      </c>
      <c r="H1401" t="s">
        <v>12</v>
      </c>
      <c r="I1401">
        <v>3</v>
      </c>
      <c r="J1401">
        <v>383</v>
      </c>
      <c r="K1401">
        <v>1149</v>
      </c>
      <c r="L14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02" spans="1:12" x14ac:dyDescent="0.3">
      <c r="A1402">
        <v>1401</v>
      </c>
      <c r="B1402" s="1">
        <v>45349</v>
      </c>
      <c r="C1402" s="1" t="str">
        <f>TEXT(RetailStore[[#This Row],[Date]],"mmm")</f>
        <v>Feb</v>
      </c>
      <c r="D1402">
        <v>2024</v>
      </c>
      <c r="E1402" t="s">
        <v>1415</v>
      </c>
      <c r="F1402" t="s">
        <v>18</v>
      </c>
      <c r="G1402">
        <v>52</v>
      </c>
      <c r="H1402" t="s">
        <v>20</v>
      </c>
      <c r="I1402">
        <v>4</v>
      </c>
      <c r="J1402">
        <v>374</v>
      </c>
      <c r="K1402">
        <v>1496</v>
      </c>
      <c r="L14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03" spans="1:12" x14ac:dyDescent="0.3">
      <c r="A1403">
        <v>1402</v>
      </c>
      <c r="B1403" s="1">
        <v>45418</v>
      </c>
      <c r="C1403" s="1" t="str">
        <f>TEXT(RetailStore[[#This Row],[Date]],"mmm")</f>
        <v>May</v>
      </c>
      <c r="D1403">
        <v>2024</v>
      </c>
      <c r="E1403" t="s">
        <v>1416</v>
      </c>
      <c r="F1403" t="s">
        <v>18</v>
      </c>
      <c r="G1403">
        <v>27</v>
      </c>
      <c r="H1403" t="s">
        <v>20</v>
      </c>
      <c r="I1403">
        <v>4</v>
      </c>
      <c r="J1403">
        <v>391</v>
      </c>
      <c r="K1403">
        <v>1564</v>
      </c>
      <c r="L14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04" spans="1:12" x14ac:dyDescent="0.3">
      <c r="A1404">
        <v>1403</v>
      </c>
      <c r="B1404" s="1">
        <v>45480</v>
      </c>
      <c r="C1404" s="1" t="str">
        <f>TEXT(RetailStore[[#This Row],[Date]],"mmm")</f>
        <v>Jul</v>
      </c>
      <c r="D1404">
        <v>2024</v>
      </c>
      <c r="E1404" t="s">
        <v>1417</v>
      </c>
      <c r="F1404" t="s">
        <v>18</v>
      </c>
      <c r="G1404">
        <v>19</v>
      </c>
      <c r="H1404" t="s">
        <v>12</v>
      </c>
      <c r="I1404">
        <v>1</v>
      </c>
      <c r="J1404">
        <v>455</v>
      </c>
      <c r="K1404">
        <v>455</v>
      </c>
      <c r="L14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05" spans="1:12" x14ac:dyDescent="0.3">
      <c r="A1405">
        <v>1404</v>
      </c>
      <c r="B1405" s="1">
        <v>45631</v>
      </c>
      <c r="C1405" s="1" t="str">
        <f>TEXT(RetailStore[[#This Row],[Date]],"mmm")</f>
        <v>Dec</v>
      </c>
      <c r="D1405">
        <v>2024</v>
      </c>
      <c r="E1405" t="s">
        <v>1418</v>
      </c>
      <c r="F1405" t="s">
        <v>11</v>
      </c>
      <c r="G1405">
        <v>62</v>
      </c>
      <c r="H1405" t="s">
        <v>12</v>
      </c>
      <c r="I1405">
        <v>2</v>
      </c>
      <c r="J1405">
        <v>154</v>
      </c>
      <c r="K1405">
        <v>308</v>
      </c>
      <c r="L14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06" spans="1:12" x14ac:dyDescent="0.3">
      <c r="A1406">
        <v>1405</v>
      </c>
      <c r="B1406" s="1">
        <v>45574</v>
      </c>
      <c r="C1406" s="1" t="str">
        <f>TEXT(RetailStore[[#This Row],[Date]],"mmm")</f>
        <v>Oct</v>
      </c>
      <c r="D1406">
        <v>2024</v>
      </c>
      <c r="E1406" t="s">
        <v>1419</v>
      </c>
      <c r="F1406" t="s">
        <v>18</v>
      </c>
      <c r="G1406">
        <v>37</v>
      </c>
      <c r="H1406" t="s">
        <v>12</v>
      </c>
      <c r="I1406">
        <v>3</v>
      </c>
      <c r="J1406">
        <v>487</v>
      </c>
      <c r="K1406">
        <v>1461</v>
      </c>
      <c r="L14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07" spans="1:12" x14ac:dyDescent="0.3">
      <c r="A1407">
        <v>1406</v>
      </c>
      <c r="B1407" s="1">
        <v>45642</v>
      </c>
      <c r="C1407" s="1" t="str">
        <f>TEXT(RetailStore[[#This Row],[Date]],"mmm")</f>
        <v>Dec</v>
      </c>
      <c r="D1407">
        <v>2024</v>
      </c>
      <c r="E1407" t="s">
        <v>1420</v>
      </c>
      <c r="F1407" t="s">
        <v>11</v>
      </c>
      <c r="G1407">
        <v>52</v>
      </c>
      <c r="H1407" t="s">
        <v>15</v>
      </c>
      <c r="I1407">
        <v>4</v>
      </c>
      <c r="J1407">
        <v>223</v>
      </c>
      <c r="K1407">
        <v>892</v>
      </c>
      <c r="L14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08" spans="1:12" x14ac:dyDescent="0.3">
      <c r="A1408">
        <v>1407</v>
      </c>
      <c r="B1408" s="1">
        <v>45296</v>
      </c>
      <c r="C1408" s="1" t="str">
        <f>TEXT(RetailStore[[#This Row],[Date]],"mmm")</f>
        <v>Jan</v>
      </c>
      <c r="D1408">
        <v>2024</v>
      </c>
      <c r="E1408" t="s">
        <v>1421</v>
      </c>
      <c r="F1408" t="s">
        <v>18</v>
      </c>
      <c r="G1408">
        <v>34</v>
      </c>
      <c r="H1408" t="s">
        <v>20</v>
      </c>
      <c r="I1408">
        <v>1</v>
      </c>
      <c r="J1408">
        <v>446</v>
      </c>
      <c r="K1408">
        <v>446</v>
      </c>
      <c r="L14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09" spans="1:12" x14ac:dyDescent="0.3">
      <c r="A1409">
        <v>1408</v>
      </c>
      <c r="B1409" s="1">
        <v>45412</v>
      </c>
      <c r="C1409" s="1" t="str">
        <f>TEXT(RetailStore[[#This Row],[Date]],"mmm")</f>
        <v>Apr</v>
      </c>
      <c r="D1409">
        <v>2024</v>
      </c>
      <c r="E1409" t="s">
        <v>1422</v>
      </c>
      <c r="F1409" t="s">
        <v>18</v>
      </c>
      <c r="G1409">
        <v>31</v>
      </c>
      <c r="H1409" t="s">
        <v>15</v>
      </c>
      <c r="I1409">
        <v>4</v>
      </c>
      <c r="J1409">
        <v>348</v>
      </c>
      <c r="K1409">
        <v>1392</v>
      </c>
      <c r="L14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10" spans="1:12" x14ac:dyDescent="0.3">
      <c r="A1410">
        <v>1409</v>
      </c>
      <c r="B1410" s="1">
        <v>45454</v>
      </c>
      <c r="C1410" s="1" t="str">
        <f>TEXT(RetailStore[[#This Row],[Date]],"mmm")</f>
        <v>Jun</v>
      </c>
      <c r="D1410">
        <v>2024</v>
      </c>
      <c r="E1410" t="s">
        <v>1423</v>
      </c>
      <c r="F1410" t="s">
        <v>18</v>
      </c>
      <c r="G1410">
        <v>20</v>
      </c>
      <c r="H1410" t="s">
        <v>20</v>
      </c>
      <c r="I1410">
        <v>1</v>
      </c>
      <c r="J1410">
        <v>446</v>
      </c>
      <c r="K1410">
        <v>446</v>
      </c>
      <c r="L14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11" spans="1:12" x14ac:dyDescent="0.3">
      <c r="A1411">
        <v>1410</v>
      </c>
      <c r="B1411" s="1">
        <v>45543</v>
      </c>
      <c r="C1411" s="1" t="str">
        <f>TEXT(RetailStore[[#This Row],[Date]],"mmm")</f>
        <v>Sep</v>
      </c>
      <c r="D1411">
        <v>2024</v>
      </c>
      <c r="E1411" t="s">
        <v>1424</v>
      </c>
      <c r="F1411" t="s">
        <v>18</v>
      </c>
      <c r="G1411">
        <v>44</v>
      </c>
      <c r="H1411" t="s">
        <v>20</v>
      </c>
      <c r="I1411">
        <v>4</v>
      </c>
      <c r="J1411">
        <v>473</v>
      </c>
      <c r="K1411">
        <v>1892</v>
      </c>
      <c r="L14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12" spans="1:12" x14ac:dyDescent="0.3">
      <c r="A1412">
        <v>1411</v>
      </c>
      <c r="B1412" s="1">
        <v>45343</v>
      </c>
      <c r="C1412" s="1" t="str">
        <f>TEXT(RetailStore[[#This Row],[Date]],"mmm")</f>
        <v>Feb</v>
      </c>
      <c r="D1412">
        <v>2024</v>
      </c>
      <c r="E1412" t="s">
        <v>1425</v>
      </c>
      <c r="F1412" t="s">
        <v>11</v>
      </c>
      <c r="G1412">
        <v>62</v>
      </c>
      <c r="H1412" t="s">
        <v>20</v>
      </c>
      <c r="I1412">
        <v>1</v>
      </c>
      <c r="J1412">
        <v>205</v>
      </c>
      <c r="K1412">
        <v>205</v>
      </c>
      <c r="L14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13" spans="1:12" x14ac:dyDescent="0.3">
      <c r="A1413">
        <v>1412</v>
      </c>
      <c r="B1413" s="1">
        <v>45507</v>
      </c>
      <c r="C1413" s="1" t="str">
        <f>TEXT(RetailStore[[#This Row],[Date]],"mmm")</f>
        <v>Aug</v>
      </c>
      <c r="D1413">
        <v>2024</v>
      </c>
      <c r="E1413" t="s">
        <v>1426</v>
      </c>
      <c r="F1413" t="s">
        <v>18</v>
      </c>
      <c r="G1413">
        <v>47</v>
      </c>
      <c r="H1413" t="s">
        <v>12</v>
      </c>
      <c r="I1413">
        <v>1</v>
      </c>
      <c r="J1413">
        <v>415</v>
      </c>
      <c r="K1413">
        <v>415</v>
      </c>
      <c r="L14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14" spans="1:12" x14ac:dyDescent="0.3">
      <c r="A1414">
        <v>1413</v>
      </c>
      <c r="B1414" s="1">
        <v>45318</v>
      </c>
      <c r="C1414" s="1" t="str">
        <f>TEXT(RetailStore[[#This Row],[Date]],"mmm")</f>
        <v>Jan</v>
      </c>
      <c r="D1414">
        <v>2024</v>
      </c>
      <c r="E1414" t="s">
        <v>1427</v>
      </c>
      <c r="F1414" t="s">
        <v>11</v>
      </c>
      <c r="G1414">
        <v>58</v>
      </c>
      <c r="H1414" t="s">
        <v>20</v>
      </c>
      <c r="I1414">
        <v>2</v>
      </c>
      <c r="J1414">
        <v>26</v>
      </c>
      <c r="K1414">
        <v>52</v>
      </c>
      <c r="L14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15" spans="1:12" x14ac:dyDescent="0.3">
      <c r="A1415">
        <v>1414</v>
      </c>
      <c r="B1415" s="1">
        <v>45497</v>
      </c>
      <c r="C1415" s="1" t="str">
        <f>TEXT(RetailStore[[#This Row],[Date]],"mmm")</f>
        <v>Jul</v>
      </c>
      <c r="D1415">
        <v>2024</v>
      </c>
      <c r="E1415" t="s">
        <v>1428</v>
      </c>
      <c r="F1415" t="s">
        <v>11</v>
      </c>
      <c r="G1415">
        <v>58</v>
      </c>
      <c r="H1415" t="s">
        <v>20</v>
      </c>
      <c r="I1415">
        <v>3</v>
      </c>
      <c r="J1415">
        <v>319</v>
      </c>
      <c r="K1415">
        <v>957</v>
      </c>
      <c r="L14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16" spans="1:12" x14ac:dyDescent="0.3">
      <c r="A1416">
        <v>1415</v>
      </c>
      <c r="B1416" s="1">
        <v>45334</v>
      </c>
      <c r="C1416" s="1" t="str">
        <f>TEXT(RetailStore[[#This Row],[Date]],"mmm")</f>
        <v>Feb</v>
      </c>
      <c r="D1416">
        <v>2024</v>
      </c>
      <c r="E1416" t="s">
        <v>1429</v>
      </c>
      <c r="F1416" t="s">
        <v>11</v>
      </c>
      <c r="G1416">
        <v>28</v>
      </c>
      <c r="H1416" t="s">
        <v>15</v>
      </c>
      <c r="I1416">
        <v>2</v>
      </c>
      <c r="J1416">
        <v>458</v>
      </c>
      <c r="K1416">
        <v>916</v>
      </c>
      <c r="L14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17" spans="1:12" x14ac:dyDescent="0.3">
      <c r="A1417">
        <v>1416</v>
      </c>
      <c r="B1417" s="1">
        <v>45596</v>
      </c>
      <c r="C1417" s="1" t="str">
        <f>TEXT(RetailStore[[#This Row],[Date]],"mmm")</f>
        <v>Oct</v>
      </c>
      <c r="D1417">
        <v>2024</v>
      </c>
      <c r="E1417" t="s">
        <v>1430</v>
      </c>
      <c r="F1417" t="s">
        <v>18</v>
      </c>
      <c r="G1417">
        <v>38</v>
      </c>
      <c r="H1417" t="s">
        <v>20</v>
      </c>
      <c r="I1417">
        <v>4</v>
      </c>
      <c r="J1417">
        <v>472</v>
      </c>
      <c r="K1417">
        <v>1888</v>
      </c>
      <c r="L14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18" spans="1:12" x14ac:dyDescent="0.3">
      <c r="A1418">
        <v>1417</v>
      </c>
      <c r="B1418" s="1">
        <v>45360</v>
      </c>
      <c r="C1418" s="1" t="str">
        <f>TEXT(RetailStore[[#This Row],[Date]],"mmm")</f>
        <v>Mar</v>
      </c>
      <c r="D1418">
        <v>2024</v>
      </c>
      <c r="E1418" t="s">
        <v>1431</v>
      </c>
      <c r="F1418" t="s">
        <v>18</v>
      </c>
      <c r="G1418">
        <v>29</v>
      </c>
      <c r="H1418" t="s">
        <v>12</v>
      </c>
      <c r="I1418">
        <v>3</v>
      </c>
      <c r="J1418">
        <v>434</v>
      </c>
      <c r="K1418">
        <v>1302</v>
      </c>
      <c r="L14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19" spans="1:12" x14ac:dyDescent="0.3">
      <c r="A1419">
        <v>1418</v>
      </c>
      <c r="B1419" s="1">
        <v>45436</v>
      </c>
      <c r="C1419" s="1" t="str">
        <f>TEXT(RetailStore[[#This Row],[Date]],"mmm")</f>
        <v>May</v>
      </c>
      <c r="D1419">
        <v>2024</v>
      </c>
      <c r="E1419" t="s">
        <v>1432</v>
      </c>
      <c r="F1419" t="s">
        <v>11</v>
      </c>
      <c r="G1419">
        <v>23</v>
      </c>
      <c r="H1419" t="s">
        <v>20</v>
      </c>
      <c r="I1419">
        <v>3</v>
      </c>
      <c r="J1419">
        <v>118</v>
      </c>
      <c r="K1419">
        <v>354</v>
      </c>
      <c r="L14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0" spans="1:12" x14ac:dyDescent="0.3">
      <c r="A1420">
        <v>1419</v>
      </c>
      <c r="B1420" s="1">
        <v>45493</v>
      </c>
      <c r="C1420" s="1" t="str">
        <f>TEXT(RetailStore[[#This Row],[Date]],"mmm")</f>
        <v>Jul</v>
      </c>
      <c r="D1420">
        <v>2024</v>
      </c>
      <c r="E1420" t="s">
        <v>1433</v>
      </c>
      <c r="F1420" t="s">
        <v>18</v>
      </c>
      <c r="G1420">
        <v>54</v>
      </c>
      <c r="H1420" t="s">
        <v>15</v>
      </c>
      <c r="I1420">
        <v>1</v>
      </c>
      <c r="J1420">
        <v>36</v>
      </c>
      <c r="K1420">
        <v>36</v>
      </c>
      <c r="L14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21" spans="1:12" x14ac:dyDescent="0.3">
      <c r="A1421">
        <v>1420</v>
      </c>
      <c r="B1421" s="1">
        <v>45577</v>
      </c>
      <c r="C1421" s="1" t="str">
        <f>TEXT(RetailStore[[#This Row],[Date]],"mmm")</f>
        <v>Oct</v>
      </c>
      <c r="D1421">
        <v>2024</v>
      </c>
      <c r="E1421" t="s">
        <v>1434</v>
      </c>
      <c r="F1421" t="s">
        <v>11</v>
      </c>
      <c r="G1421">
        <v>23</v>
      </c>
      <c r="H1421" t="s">
        <v>20</v>
      </c>
      <c r="I1421">
        <v>2</v>
      </c>
      <c r="J1421">
        <v>159</v>
      </c>
      <c r="K1421">
        <v>318</v>
      </c>
      <c r="L14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22" spans="1:12" x14ac:dyDescent="0.3">
      <c r="A1422">
        <v>1421</v>
      </c>
      <c r="B1422" s="1">
        <v>45651</v>
      </c>
      <c r="C1422" s="1" t="str">
        <f>TEXT(RetailStore[[#This Row],[Date]],"mmm")</f>
        <v>Dec</v>
      </c>
      <c r="D1422">
        <v>2024</v>
      </c>
      <c r="E1422" t="s">
        <v>1435</v>
      </c>
      <c r="F1422" t="s">
        <v>11</v>
      </c>
      <c r="G1422">
        <v>21</v>
      </c>
      <c r="H1422" t="s">
        <v>20</v>
      </c>
      <c r="I1422">
        <v>4</v>
      </c>
      <c r="J1422">
        <v>332</v>
      </c>
      <c r="K1422">
        <v>1328</v>
      </c>
      <c r="L14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23" spans="1:12" x14ac:dyDescent="0.3">
      <c r="A1423">
        <v>1422</v>
      </c>
      <c r="B1423" s="1">
        <v>45425</v>
      </c>
      <c r="C1423" s="1" t="str">
        <f>TEXT(RetailStore[[#This Row],[Date]],"mmm")</f>
        <v>May</v>
      </c>
      <c r="D1423">
        <v>2024</v>
      </c>
      <c r="E1423" t="s">
        <v>1436</v>
      </c>
      <c r="F1423" t="s">
        <v>11</v>
      </c>
      <c r="G1423">
        <v>23</v>
      </c>
      <c r="H1423" t="s">
        <v>20</v>
      </c>
      <c r="I1423">
        <v>2</v>
      </c>
      <c r="J1423">
        <v>315</v>
      </c>
      <c r="K1423">
        <v>630</v>
      </c>
      <c r="L14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4" spans="1:12" x14ac:dyDescent="0.3">
      <c r="A1424">
        <v>1423</v>
      </c>
      <c r="B1424" s="1">
        <v>45352</v>
      </c>
      <c r="C1424" s="1" t="str">
        <f>TEXT(RetailStore[[#This Row],[Date]],"mmm")</f>
        <v>Mar</v>
      </c>
      <c r="D1424">
        <v>2024</v>
      </c>
      <c r="E1424" t="s">
        <v>1437</v>
      </c>
      <c r="F1424" t="s">
        <v>11</v>
      </c>
      <c r="G1424">
        <v>63</v>
      </c>
      <c r="H1424" t="s">
        <v>12</v>
      </c>
      <c r="I1424">
        <v>4</v>
      </c>
      <c r="J1424">
        <v>420</v>
      </c>
      <c r="K1424">
        <v>1680</v>
      </c>
      <c r="L14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5" spans="1:12" x14ac:dyDescent="0.3">
      <c r="A1425">
        <v>1424</v>
      </c>
      <c r="B1425" s="1">
        <v>45524</v>
      </c>
      <c r="C1425" s="1" t="str">
        <f>TEXT(RetailStore[[#This Row],[Date]],"mmm")</f>
        <v>Aug</v>
      </c>
      <c r="D1425">
        <v>2024</v>
      </c>
      <c r="E1425" t="s">
        <v>1438</v>
      </c>
      <c r="F1425" t="s">
        <v>18</v>
      </c>
      <c r="G1425">
        <v>25</v>
      </c>
      <c r="H1425" t="s">
        <v>15</v>
      </c>
      <c r="I1425">
        <v>2</v>
      </c>
      <c r="J1425">
        <v>122</v>
      </c>
      <c r="K1425">
        <v>244</v>
      </c>
      <c r="L14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26" spans="1:12" x14ac:dyDescent="0.3">
      <c r="A1426">
        <v>1425</v>
      </c>
      <c r="B1426" s="1">
        <v>45428</v>
      </c>
      <c r="C1426" s="1" t="str">
        <f>TEXT(RetailStore[[#This Row],[Date]],"mmm")</f>
        <v>May</v>
      </c>
      <c r="D1426">
        <v>2024</v>
      </c>
      <c r="E1426" t="s">
        <v>1439</v>
      </c>
      <c r="F1426" t="s">
        <v>18</v>
      </c>
      <c r="G1426">
        <v>49</v>
      </c>
      <c r="H1426" t="s">
        <v>20</v>
      </c>
      <c r="I1426">
        <v>2</v>
      </c>
      <c r="J1426">
        <v>245</v>
      </c>
      <c r="K1426">
        <v>490</v>
      </c>
      <c r="L14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7" spans="1:12" x14ac:dyDescent="0.3">
      <c r="A1427">
        <v>1426</v>
      </c>
      <c r="B1427" s="1">
        <v>45397</v>
      </c>
      <c r="C1427" s="1" t="str">
        <f>TEXT(RetailStore[[#This Row],[Date]],"mmm")</f>
        <v>Apr</v>
      </c>
      <c r="D1427">
        <v>2024</v>
      </c>
      <c r="E1427" t="s">
        <v>1440</v>
      </c>
      <c r="F1427" t="s">
        <v>11</v>
      </c>
      <c r="G1427">
        <v>36</v>
      </c>
      <c r="H1427" t="s">
        <v>12</v>
      </c>
      <c r="I1427">
        <v>2</v>
      </c>
      <c r="J1427">
        <v>239</v>
      </c>
      <c r="K1427">
        <v>478</v>
      </c>
      <c r="L14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8" spans="1:12" x14ac:dyDescent="0.3">
      <c r="A1428">
        <v>1427</v>
      </c>
      <c r="B1428" s="1">
        <v>45384</v>
      </c>
      <c r="C1428" s="1" t="str">
        <f>TEXT(RetailStore[[#This Row],[Date]],"mmm")</f>
        <v>Apr</v>
      </c>
      <c r="D1428">
        <v>2024</v>
      </c>
      <c r="E1428" t="s">
        <v>1441</v>
      </c>
      <c r="F1428" t="s">
        <v>18</v>
      </c>
      <c r="G1428">
        <v>27</v>
      </c>
      <c r="H1428" t="s">
        <v>15</v>
      </c>
      <c r="I1428">
        <v>3</v>
      </c>
      <c r="J1428">
        <v>159</v>
      </c>
      <c r="K1428">
        <v>477</v>
      </c>
      <c r="L14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29" spans="1:12" x14ac:dyDescent="0.3">
      <c r="A1429">
        <v>1428</v>
      </c>
      <c r="B1429" s="1">
        <v>45412</v>
      </c>
      <c r="C1429" s="1" t="str">
        <f>TEXT(RetailStore[[#This Row],[Date]],"mmm")</f>
        <v>Apr</v>
      </c>
      <c r="D1429">
        <v>2024</v>
      </c>
      <c r="E1429" t="s">
        <v>1442</v>
      </c>
      <c r="F1429" t="s">
        <v>18</v>
      </c>
      <c r="G1429">
        <v>33</v>
      </c>
      <c r="H1429" t="s">
        <v>20</v>
      </c>
      <c r="I1429">
        <v>4</v>
      </c>
      <c r="J1429">
        <v>68</v>
      </c>
      <c r="K1429">
        <v>272</v>
      </c>
      <c r="L14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30" spans="1:12" x14ac:dyDescent="0.3">
      <c r="A1430">
        <v>1429</v>
      </c>
      <c r="B1430" s="1">
        <v>45297</v>
      </c>
      <c r="C1430" s="1" t="str">
        <f>TEXT(RetailStore[[#This Row],[Date]],"mmm")</f>
        <v>Jan</v>
      </c>
      <c r="D1430">
        <v>2024</v>
      </c>
      <c r="E1430" t="s">
        <v>1443</v>
      </c>
      <c r="F1430" t="s">
        <v>18</v>
      </c>
      <c r="G1430">
        <v>26</v>
      </c>
      <c r="H1430" t="s">
        <v>20</v>
      </c>
      <c r="I1430">
        <v>4</v>
      </c>
      <c r="J1430">
        <v>376</v>
      </c>
      <c r="K1430">
        <v>1504</v>
      </c>
      <c r="L14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31" spans="1:12" x14ac:dyDescent="0.3">
      <c r="A1431">
        <v>1430</v>
      </c>
      <c r="B1431" s="1">
        <v>45400</v>
      </c>
      <c r="C1431" s="1" t="str">
        <f>TEXT(RetailStore[[#This Row],[Date]],"mmm")</f>
        <v>Apr</v>
      </c>
      <c r="D1431">
        <v>2024</v>
      </c>
      <c r="E1431" t="s">
        <v>1444</v>
      </c>
      <c r="F1431" t="s">
        <v>18</v>
      </c>
      <c r="G1431">
        <v>63</v>
      </c>
      <c r="H1431" t="s">
        <v>20</v>
      </c>
      <c r="I1431">
        <v>3</v>
      </c>
      <c r="J1431">
        <v>62</v>
      </c>
      <c r="K1431">
        <v>186</v>
      </c>
      <c r="L14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32" spans="1:12" x14ac:dyDescent="0.3">
      <c r="A1432">
        <v>1431</v>
      </c>
      <c r="B1432" s="1">
        <v>45340</v>
      </c>
      <c r="C1432" s="1" t="str">
        <f>TEXT(RetailStore[[#This Row],[Date]],"mmm")</f>
        <v>Feb</v>
      </c>
      <c r="D1432">
        <v>2024</v>
      </c>
      <c r="E1432" t="s">
        <v>1445</v>
      </c>
      <c r="F1432" t="s">
        <v>11</v>
      </c>
      <c r="G1432">
        <v>21</v>
      </c>
      <c r="H1432" t="s">
        <v>20</v>
      </c>
      <c r="I1432">
        <v>2</v>
      </c>
      <c r="J1432">
        <v>266</v>
      </c>
      <c r="K1432">
        <v>532</v>
      </c>
      <c r="L14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33" spans="1:12" x14ac:dyDescent="0.3">
      <c r="A1433">
        <v>1432</v>
      </c>
      <c r="B1433" s="1">
        <v>45473</v>
      </c>
      <c r="C1433" s="1" t="str">
        <f>TEXT(RetailStore[[#This Row],[Date]],"mmm")</f>
        <v>Jun</v>
      </c>
      <c r="D1433">
        <v>2024</v>
      </c>
      <c r="E1433" t="s">
        <v>1446</v>
      </c>
      <c r="F1433" t="s">
        <v>11</v>
      </c>
      <c r="G1433">
        <v>18</v>
      </c>
      <c r="H1433" t="s">
        <v>20</v>
      </c>
      <c r="I1433">
        <v>4</v>
      </c>
      <c r="J1433">
        <v>179</v>
      </c>
      <c r="K1433">
        <v>716</v>
      </c>
      <c r="L14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34" spans="1:12" x14ac:dyDescent="0.3">
      <c r="A1434">
        <v>1433</v>
      </c>
      <c r="B1434" s="1">
        <v>45494</v>
      </c>
      <c r="C1434" s="1" t="str">
        <f>TEXT(RetailStore[[#This Row],[Date]],"mmm")</f>
        <v>Jul</v>
      </c>
      <c r="D1434">
        <v>2024</v>
      </c>
      <c r="E1434" t="s">
        <v>1447</v>
      </c>
      <c r="F1434" t="s">
        <v>18</v>
      </c>
      <c r="G1434">
        <v>26</v>
      </c>
      <c r="H1434" t="s">
        <v>12</v>
      </c>
      <c r="I1434">
        <v>1</v>
      </c>
      <c r="J1434">
        <v>322</v>
      </c>
      <c r="K1434">
        <v>322</v>
      </c>
      <c r="L14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35" spans="1:12" x14ac:dyDescent="0.3">
      <c r="A1435">
        <v>1434</v>
      </c>
      <c r="B1435" s="1">
        <v>45383</v>
      </c>
      <c r="C1435" s="1" t="str">
        <f>TEXT(RetailStore[[#This Row],[Date]],"mmm")</f>
        <v>Apr</v>
      </c>
      <c r="D1435">
        <v>2024</v>
      </c>
      <c r="E1435" t="s">
        <v>1448</v>
      </c>
      <c r="F1435" t="s">
        <v>18</v>
      </c>
      <c r="G1435">
        <v>28</v>
      </c>
      <c r="H1435" t="s">
        <v>12</v>
      </c>
      <c r="I1435">
        <v>4</v>
      </c>
      <c r="J1435">
        <v>198</v>
      </c>
      <c r="K1435">
        <v>792</v>
      </c>
      <c r="L14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36" spans="1:12" x14ac:dyDescent="0.3">
      <c r="A1436">
        <v>1435</v>
      </c>
      <c r="B1436" s="1">
        <v>45531</v>
      </c>
      <c r="C1436" s="1" t="str">
        <f>TEXT(RetailStore[[#This Row],[Date]],"mmm")</f>
        <v>Aug</v>
      </c>
      <c r="D1436">
        <v>2024</v>
      </c>
      <c r="E1436" t="s">
        <v>1449</v>
      </c>
      <c r="F1436" t="s">
        <v>11</v>
      </c>
      <c r="G1436">
        <v>23</v>
      </c>
      <c r="H1436" t="s">
        <v>20</v>
      </c>
      <c r="I1436">
        <v>4</v>
      </c>
      <c r="J1436">
        <v>97</v>
      </c>
      <c r="K1436">
        <v>388</v>
      </c>
      <c r="L14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37" spans="1:12" x14ac:dyDescent="0.3">
      <c r="A1437">
        <v>1436</v>
      </c>
      <c r="B1437" s="1">
        <v>45425</v>
      </c>
      <c r="C1437" s="1" t="str">
        <f>TEXT(RetailStore[[#This Row],[Date]],"mmm")</f>
        <v>May</v>
      </c>
      <c r="D1437">
        <v>2024</v>
      </c>
      <c r="E1437" t="s">
        <v>1450</v>
      </c>
      <c r="F1437" t="s">
        <v>11</v>
      </c>
      <c r="G1437">
        <v>38</v>
      </c>
      <c r="H1437" t="s">
        <v>15</v>
      </c>
      <c r="I1437">
        <v>2</v>
      </c>
      <c r="J1437">
        <v>280</v>
      </c>
      <c r="K1437">
        <v>560</v>
      </c>
      <c r="L14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38" spans="1:12" x14ac:dyDescent="0.3">
      <c r="A1438">
        <v>1437</v>
      </c>
      <c r="B1438" s="1">
        <v>45435</v>
      </c>
      <c r="C1438" s="1" t="str">
        <f>TEXT(RetailStore[[#This Row],[Date]],"mmm")</f>
        <v>May</v>
      </c>
      <c r="D1438">
        <v>2024</v>
      </c>
      <c r="E1438" t="s">
        <v>1451</v>
      </c>
      <c r="F1438" t="s">
        <v>18</v>
      </c>
      <c r="G1438">
        <v>45</v>
      </c>
      <c r="H1438" t="s">
        <v>20</v>
      </c>
      <c r="I1438">
        <v>3</v>
      </c>
      <c r="J1438">
        <v>338</v>
      </c>
      <c r="K1438">
        <v>1014</v>
      </c>
      <c r="L14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39" spans="1:12" x14ac:dyDescent="0.3">
      <c r="A1439">
        <v>1438</v>
      </c>
      <c r="B1439" s="1">
        <v>45427</v>
      </c>
      <c r="C1439" s="1" t="str">
        <f>TEXT(RetailStore[[#This Row],[Date]],"mmm")</f>
        <v>May</v>
      </c>
      <c r="D1439">
        <v>2024</v>
      </c>
      <c r="E1439" t="s">
        <v>1452</v>
      </c>
      <c r="F1439" t="s">
        <v>18</v>
      </c>
      <c r="G1439">
        <v>45</v>
      </c>
      <c r="H1439" t="s">
        <v>15</v>
      </c>
      <c r="I1439">
        <v>3</v>
      </c>
      <c r="J1439">
        <v>402</v>
      </c>
      <c r="K1439">
        <v>1206</v>
      </c>
      <c r="L14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40" spans="1:12" x14ac:dyDescent="0.3">
      <c r="A1440">
        <v>1439</v>
      </c>
      <c r="B1440" s="1">
        <v>45543</v>
      </c>
      <c r="C1440" s="1" t="str">
        <f>TEXT(RetailStore[[#This Row],[Date]],"mmm")</f>
        <v>Sep</v>
      </c>
      <c r="D1440">
        <v>2024</v>
      </c>
      <c r="E1440" t="s">
        <v>1453</v>
      </c>
      <c r="F1440" t="s">
        <v>11</v>
      </c>
      <c r="G1440">
        <v>53</v>
      </c>
      <c r="H1440" t="s">
        <v>12</v>
      </c>
      <c r="I1440">
        <v>4</v>
      </c>
      <c r="J1440">
        <v>52</v>
      </c>
      <c r="K1440">
        <v>208</v>
      </c>
      <c r="L14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41" spans="1:12" x14ac:dyDescent="0.3">
      <c r="A1441">
        <v>1440</v>
      </c>
      <c r="B1441" s="1">
        <v>45388</v>
      </c>
      <c r="C1441" s="1" t="str">
        <f>TEXT(RetailStore[[#This Row],[Date]],"mmm")</f>
        <v>Apr</v>
      </c>
      <c r="D1441">
        <v>2024</v>
      </c>
      <c r="E1441" t="s">
        <v>1454</v>
      </c>
      <c r="F1441" t="s">
        <v>11</v>
      </c>
      <c r="G1441">
        <v>21</v>
      </c>
      <c r="H1441" t="s">
        <v>15</v>
      </c>
      <c r="I1441">
        <v>2</v>
      </c>
      <c r="J1441">
        <v>43</v>
      </c>
      <c r="K1441">
        <v>86</v>
      </c>
      <c r="L14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42" spans="1:12" x14ac:dyDescent="0.3">
      <c r="A1442">
        <v>1441</v>
      </c>
      <c r="B1442" s="1">
        <v>45532</v>
      </c>
      <c r="C1442" s="1" t="str">
        <f>TEXT(RetailStore[[#This Row],[Date]],"mmm")</f>
        <v>Aug</v>
      </c>
      <c r="D1442">
        <v>2024</v>
      </c>
      <c r="E1442" t="s">
        <v>1455</v>
      </c>
      <c r="F1442" t="s">
        <v>18</v>
      </c>
      <c r="G1442">
        <v>28</v>
      </c>
      <c r="H1442" t="s">
        <v>12</v>
      </c>
      <c r="I1442">
        <v>4</v>
      </c>
      <c r="J1442">
        <v>248</v>
      </c>
      <c r="K1442">
        <v>992</v>
      </c>
      <c r="L14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43" spans="1:12" x14ac:dyDescent="0.3">
      <c r="A1443">
        <v>1442</v>
      </c>
      <c r="B1443" s="1">
        <v>45351</v>
      </c>
      <c r="C1443" s="1" t="str">
        <f>TEXT(RetailStore[[#This Row],[Date]],"mmm")</f>
        <v>Feb</v>
      </c>
      <c r="D1443">
        <v>2024</v>
      </c>
      <c r="E1443" t="s">
        <v>1456</v>
      </c>
      <c r="F1443" t="s">
        <v>18</v>
      </c>
      <c r="G1443">
        <v>20</v>
      </c>
      <c r="H1443" t="s">
        <v>20</v>
      </c>
      <c r="I1443">
        <v>3</v>
      </c>
      <c r="J1443">
        <v>388</v>
      </c>
      <c r="K1443">
        <v>1164</v>
      </c>
      <c r="L14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44" spans="1:12" x14ac:dyDescent="0.3">
      <c r="A1444">
        <v>1443</v>
      </c>
      <c r="B1444" s="1">
        <v>45579</v>
      </c>
      <c r="C1444" s="1" t="str">
        <f>TEXT(RetailStore[[#This Row],[Date]],"mmm")</f>
        <v>Oct</v>
      </c>
      <c r="D1444">
        <v>2024</v>
      </c>
      <c r="E1444" t="s">
        <v>1457</v>
      </c>
      <c r="F1444" t="s">
        <v>18</v>
      </c>
      <c r="G1444">
        <v>47</v>
      </c>
      <c r="H1444" t="s">
        <v>20</v>
      </c>
      <c r="I1444">
        <v>1</v>
      </c>
      <c r="J1444">
        <v>458</v>
      </c>
      <c r="K1444">
        <v>458</v>
      </c>
      <c r="L14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45" spans="1:12" x14ac:dyDescent="0.3">
      <c r="A1445">
        <v>1444</v>
      </c>
      <c r="B1445" s="1">
        <v>45367</v>
      </c>
      <c r="C1445" s="1" t="str">
        <f>TEXT(RetailStore[[#This Row],[Date]],"mmm")</f>
        <v>Mar</v>
      </c>
      <c r="D1445">
        <v>2024</v>
      </c>
      <c r="E1445" t="s">
        <v>1458</v>
      </c>
      <c r="F1445" t="s">
        <v>11</v>
      </c>
      <c r="G1445">
        <v>40</v>
      </c>
      <c r="H1445" t="s">
        <v>15</v>
      </c>
      <c r="I1445">
        <v>2</v>
      </c>
      <c r="J1445">
        <v>469</v>
      </c>
      <c r="K1445">
        <v>938</v>
      </c>
      <c r="L14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46" spans="1:12" x14ac:dyDescent="0.3">
      <c r="A1446">
        <v>1445</v>
      </c>
      <c r="B1446" s="1">
        <v>45437</v>
      </c>
      <c r="C1446" s="1" t="str">
        <f>TEXT(RetailStore[[#This Row],[Date]],"mmm")</f>
        <v>May</v>
      </c>
      <c r="D1446">
        <v>2024</v>
      </c>
      <c r="E1446" t="s">
        <v>1459</v>
      </c>
      <c r="F1446" t="s">
        <v>11</v>
      </c>
      <c r="G1446">
        <v>28</v>
      </c>
      <c r="H1446" t="s">
        <v>12</v>
      </c>
      <c r="I1446">
        <v>3</v>
      </c>
      <c r="J1446">
        <v>313</v>
      </c>
      <c r="K1446">
        <v>939</v>
      </c>
      <c r="L14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47" spans="1:12" x14ac:dyDescent="0.3">
      <c r="A1447">
        <v>1446</v>
      </c>
      <c r="B1447" s="1">
        <v>45631</v>
      </c>
      <c r="C1447" s="1" t="str">
        <f>TEXT(RetailStore[[#This Row],[Date]],"mmm")</f>
        <v>Dec</v>
      </c>
      <c r="D1447">
        <v>2024</v>
      </c>
      <c r="E1447" t="s">
        <v>1460</v>
      </c>
      <c r="F1447" t="s">
        <v>11</v>
      </c>
      <c r="G1447">
        <v>55</v>
      </c>
      <c r="H1447" t="s">
        <v>15</v>
      </c>
      <c r="I1447">
        <v>2</v>
      </c>
      <c r="J1447">
        <v>238</v>
      </c>
      <c r="K1447">
        <v>476</v>
      </c>
      <c r="L14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48" spans="1:12" x14ac:dyDescent="0.3">
      <c r="A1448">
        <v>1447</v>
      </c>
      <c r="B1448" s="1">
        <v>45331</v>
      </c>
      <c r="C1448" s="1" t="str">
        <f>TEXT(RetailStore[[#This Row],[Date]],"mmm")</f>
        <v>Feb</v>
      </c>
      <c r="D1448">
        <v>2024</v>
      </c>
      <c r="E1448" t="s">
        <v>1461</v>
      </c>
      <c r="F1448" t="s">
        <v>11</v>
      </c>
      <c r="G1448">
        <v>49</v>
      </c>
      <c r="H1448" t="s">
        <v>12</v>
      </c>
      <c r="I1448">
        <v>1</v>
      </c>
      <c r="J1448">
        <v>479</v>
      </c>
      <c r="K1448">
        <v>479</v>
      </c>
      <c r="L14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49" spans="1:12" x14ac:dyDescent="0.3">
      <c r="A1449">
        <v>1448</v>
      </c>
      <c r="B1449" s="1">
        <v>45460</v>
      </c>
      <c r="C1449" s="1" t="str">
        <f>TEXT(RetailStore[[#This Row],[Date]],"mmm")</f>
        <v>Jun</v>
      </c>
      <c r="D1449">
        <v>2024</v>
      </c>
      <c r="E1449" t="s">
        <v>1462</v>
      </c>
      <c r="F1449" t="s">
        <v>11</v>
      </c>
      <c r="G1449">
        <v>36</v>
      </c>
      <c r="H1449" t="s">
        <v>12</v>
      </c>
      <c r="I1449">
        <v>1</v>
      </c>
      <c r="J1449">
        <v>226</v>
      </c>
      <c r="K1449">
        <v>226</v>
      </c>
      <c r="L14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50" spans="1:12" x14ac:dyDescent="0.3">
      <c r="A1450">
        <v>1449</v>
      </c>
      <c r="B1450" s="1">
        <v>45483</v>
      </c>
      <c r="C1450" s="1" t="str">
        <f>TEXT(RetailStore[[#This Row],[Date]],"mmm")</f>
        <v>Jul</v>
      </c>
      <c r="D1450">
        <v>2024</v>
      </c>
      <c r="E1450" t="s">
        <v>1463</v>
      </c>
      <c r="F1450" t="s">
        <v>11</v>
      </c>
      <c r="G1450">
        <v>38</v>
      </c>
      <c r="H1450" t="s">
        <v>15</v>
      </c>
      <c r="I1450">
        <v>1</v>
      </c>
      <c r="J1450">
        <v>66</v>
      </c>
      <c r="K1450">
        <v>66</v>
      </c>
      <c r="L14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51" spans="1:12" x14ac:dyDescent="0.3">
      <c r="A1451">
        <v>1450</v>
      </c>
      <c r="B1451" s="1">
        <v>45527</v>
      </c>
      <c r="C1451" s="1" t="str">
        <f>TEXT(RetailStore[[#This Row],[Date]],"mmm")</f>
        <v>Aug</v>
      </c>
      <c r="D1451">
        <v>2024</v>
      </c>
      <c r="E1451" t="s">
        <v>1464</v>
      </c>
      <c r="F1451" t="s">
        <v>18</v>
      </c>
      <c r="G1451">
        <v>47</v>
      </c>
      <c r="H1451" t="s">
        <v>12</v>
      </c>
      <c r="I1451">
        <v>3</v>
      </c>
      <c r="J1451">
        <v>329</v>
      </c>
      <c r="K1451">
        <v>987</v>
      </c>
      <c r="L14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52" spans="1:12" x14ac:dyDescent="0.3">
      <c r="A1452">
        <v>1451</v>
      </c>
      <c r="B1452" s="1">
        <v>45628</v>
      </c>
      <c r="C1452" s="1" t="str">
        <f>TEXT(RetailStore[[#This Row],[Date]],"mmm")</f>
        <v>Dec</v>
      </c>
      <c r="D1452">
        <v>2024</v>
      </c>
      <c r="E1452" t="s">
        <v>1465</v>
      </c>
      <c r="F1452" t="s">
        <v>11</v>
      </c>
      <c r="G1452">
        <v>39</v>
      </c>
      <c r="H1452" t="s">
        <v>15</v>
      </c>
      <c r="I1452">
        <v>4</v>
      </c>
      <c r="J1452">
        <v>191</v>
      </c>
      <c r="K1452">
        <v>764</v>
      </c>
      <c r="L14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53" spans="1:12" x14ac:dyDescent="0.3">
      <c r="A1453">
        <v>1452</v>
      </c>
      <c r="B1453" s="1">
        <v>45583</v>
      </c>
      <c r="C1453" s="1" t="str">
        <f>TEXT(RetailStore[[#This Row],[Date]],"mmm")</f>
        <v>Oct</v>
      </c>
      <c r="D1453">
        <v>2024</v>
      </c>
      <c r="E1453" t="s">
        <v>1466</v>
      </c>
      <c r="F1453" t="s">
        <v>11</v>
      </c>
      <c r="G1453">
        <v>31</v>
      </c>
      <c r="H1453" t="s">
        <v>15</v>
      </c>
      <c r="I1453">
        <v>3</v>
      </c>
      <c r="J1453">
        <v>190</v>
      </c>
      <c r="K1453">
        <v>570</v>
      </c>
      <c r="L14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54" spans="1:12" x14ac:dyDescent="0.3">
      <c r="A1454">
        <v>1453</v>
      </c>
      <c r="B1454" s="1">
        <v>45320</v>
      </c>
      <c r="C1454" s="1" t="str">
        <f>TEXT(RetailStore[[#This Row],[Date]],"mmm")</f>
        <v>Jan</v>
      </c>
      <c r="D1454">
        <v>2024</v>
      </c>
      <c r="E1454" t="s">
        <v>1467</v>
      </c>
      <c r="F1454" t="s">
        <v>11</v>
      </c>
      <c r="G1454">
        <v>53</v>
      </c>
      <c r="H1454" t="s">
        <v>12</v>
      </c>
      <c r="I1454">
        <v>4</v>
      </c>
      <c r="J1454">
        <v>72</v>
      </c>
      <c r="K1454">
        <v>288</v>
      </c>
      <c r="L14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55" spans="1:12" x14ac:dyDescent="0.3">
      <c r="A1455">
        <v>1454</v>
      </c>
      <c r="B1455" s="1">
        <v>45496</v>
      </c>
      <c r="C1455" s="1" t="str">
        <f>TEXT(RetailStore[[#This Row],[Date]],"mmm")</f>
        <v>Jul</v>
      </c>
      <c r="D1455">
        <v>2024</v>
      </c>
      <c r="E1455" t="s">
        <v>1468</v>
      </c>
      <c r="F1455" t="s">
        <v>18</v>
      </c>
      <c r="G1455">
        <v>29</v>
      </c>
      <c r="H1455" t="s">
        <v>15</v>
      </c>
      <c r="I1455">
        <v>4</v>
      </c>
      <c r="J1455">
        <v>70</v>
      </c>
      <c r="K1455">
        <v>280</v>
      </c>
      <c r="L14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56" spans="1:12" x14ac:dyDescent="0.3">
      <c r="A1456">
        <v>1455</v>
      </c>
      <c r="B1456" s="1">
        <v>45302</v>
      </c>
      <c r="C1456" s="1" t="str">
        <f>TEXT(RetailStore[[#This Row],[Date]],"mmm")</f>
        <v>Jan</v>
      </c>
      <c r="D1456">
        <v>2024</v>
      </c>
      <c r="E1456" t="s">
        <v>1469</v>
      </c>
      <c r="F1456" t="s">
        <v>11</v>
      </c>
      <c r="G1456">
        <v>28</v>
      </c>
      <c r="H1456" t="s">
        <v>20</v>
      </c>
      <c r="I1456">
        <v>4</v>
      </c>
      <c r="J1456">
        <v>170</v>
      </c>
      <c r="K1456">
        <v>680</v>
      </c>
      <c r="L14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57" spans="1:12" x14ac:dyDescent="0.3">
      <c r="A1457">
        <v>1456</v>
      </c>
      <c r="B1457" s="1">
        <v>45623</v>
      </c>
      <c r="C1457" s="1" t="str">
        <f>TEXT(RetailStore[[#This Row],[Date]],"mmm")</f>
        <v>Nov</v>
      </c>
      <c r="D1457">
        <v>2024</v>
      </c>
      <c r="E1457" t="s">
        <v>1470</v>
      </c>
      <c r="F1457" t="s">
        <v>11</v>
      </c>
      <c r="G1457">
        <v>25</v>
      </c>
      <c r="H1457" t="s">
        <v>20</v>
      </c>
      <c r="I1457">
        <v>4</v>
      </c>
      <c r="J1457">
        <v>435</v>
      </c>
      <c r="K1457">
        <v>1740</v>
      </c>
      <c r="L14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58" spans="1:12" x14ac:dyDescent="0.3">
      <c r="A1458">
        <v>1457</v>
      </c>
      <c r="B1458" s="1">
        <v>45513</v>
      </c>
      <c r="C1458" s="1" t="str">
        <f>TEXT(RetailStore[[#This Row],[Date]],"mmm")</f>
        <v>Aug</v>
      </c>
      <c r="D1458">
        <v>2024</v>
      </c>
      <c r="E1458" t="s">
        <v>1471</v>
      </c>
      <c r="F1458" t="s">
        <v>18</v>
      </c>
      <c r="G1458">
        <v>61</v>
      </c>
      <c r="H1458" t="s">
        <v>12</v>
      </c>
      <c r="I1458">
        <v>2</v>
      </c>
      <c r="J1458">
        <v>208</v>
      </c>
      <c r="K1458">
        <v>416</v>
      </c>
      <c r="L14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59" spans="1:12" x14ac:dyDescent="0.3">
      <c r="A1459">
        <v>1458</v>
      </c>
      <c r="B1459" s="1">
        <v>45632</v>
      </c>
      <c r="C1459" s="1" t="str">
        <f>TEXT(RetailStore[[#This Row],[Date]],"mmm")</f>
        <v>Dec</v>
      </c>
      <c r="D1459">
        <v>2024</v>
      </c>
      <c r="E1459" t="s">
        <v>1472</v>
      </c>
      <c r="F1459" t="s">
        <v>11</v>
      </c>
      <c r="G1459">
        <v>41</v>
      </c>
      <c r="H1459" t="s">
        <v>12</v>
      </c>
      <c r="I1459">
        <v>2</v>
      </c>
      <c r="J1459">
        <v>275</v>
      </c>
      <c r="K1459">
        <v>550</v>
      </c>
      <c r="L14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60" spans="1:12" x14ac:dyDescent="0.3">
      <c r="A1460">
        <v>1459</v>
      </c>
      <c r="B1460" s="1">
        <v>45520</v>
      </c>
      <c r="C1460" s="1" t="str">
        <f>TEXT(RetailStore[[#This Row],[Date]],"mmm")</f>
        <v>Aug</v>
      </c>
      <c r="D1460">
        <v>2024</v>
      </c>
      <c r="E1460" t="s">
        <v>1473</v>
      </c>
      <c r="F1460" t="s">
        <v>18</v>
      </c>
      <c r="G1460">
        <v>48</v>
      </c>
      <c r="H1460" t="s">
        <v>20</v>
      </c>
      <c r="I1460">
        <v>4</v>
      </c>
      <c r="J1460">
        <v>71</v>
      </c>
      <c r="K1460">
        <v>284</v>
      </c>
      <c r="L14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61" spans="1:12" x14ac:dyDescent="0.3">
      <c r="A1461">
        <v>1460</v>
      </c>
      <c r="B1461" s="1">
        <v>45508</v>
      </c>
      <c r="C1461" s="1" t="str">
        <f>TEXT(RetailStore[[#This Row],[Date]],"mmm")</f>
        <v>Aug</v>
      </c>
      <c r="D1461">
        <v>2024</v>
      </c>
      <c r="E1461" t="s">
        <v>1474</v>
      </c>
      <c r="F1461" t="s">
        <v>18</v>
      </c>
      <c r="G1461">
        <v>57</v>
      </c>
      <c r="H1461" t="s">
        <v>15</v>
      </c>
      <c r="I1461">
        <v>4</v>
      </c>
      <c r="J1461">
        <v>347</v>
      </c>
      <c r="K1461">
        <v>1388</v>
      </c>
      <c r="L14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62" spans="1:12" x14ac:dyDescent="0.3">
      <c r="A1462">
        <v>1461</v>
      </c>
      <c r="B1462" s="1">
        <v>45510</v>
      </c>
      <c r="C1462" s="1" t="str">
        <f>TEXT(RetailStore[[#This Row],[Date]],"mmm")</f>
        <v>Aug</v>
      </c>
      <c r="D1462">
        <v>2024</v>
      </c>
      <c r="E1462" t="s">
        <v>1475</v>
      </c>
      <c r="F1462" t="s">
        <v>11</v>
      </c>
      <c r="G1462">
        <v>20</v>
      </c>
      <c r="H1462" t="s">
        <v>12</v>
      </c>
      <c r="I1462">
        <v>3</v>
      </c>
      <c r="J1462">
        <v>262</v>
      </c>
      <c r="K1462">
        <v>786</v>
      </c>
      <c r="L14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63" spans="1:12" x14ac:dyDescent="0.3">
      <c r="A1463">
        <v>1462</v>
      </c>
      <c r="B1463" s="1">
        <v>45638</v>
      </c>
      <c r="C1463" s="1" t="str">
        <f>TEXT(RetailStore[[#This Row],[Date]],"mmm")</f>
        <v>Dec</v>
      </c>
      <c r="D1463">
        <v>2024</v>
      </c>
      <c r="E1463" t="s">
        <v>1476</v>
      </c>
      <c r="F1463" t="s">
        <v>11</v>
      </c>
      <c r="G1463">
        <v>59</v>
      </c>
      <c r="H1463" t="s">
        <v>12</v>
      </c>
      <c r="I1463">
        <v>2</v>
      </c>
      <c r="J1463">
        <v>278</v>
      </c>
      <c r="K1463">
        <v>556</v>
      </c>
      <c r="L14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64" spans="1:12" x14ac:dyDescent="0.3">
      <c r="A1464">
        <v>1463</v>
      </c>
      <c r="B1464" s="1">
        <v>45561</v>
      </c>
      <c r="C1464" s="1" t="str">
        <f>TEXT(RetailStore[[#This Row],[Date]],"mmm")</f>
        <v>Sep</v>
      </c>
      <c r="D1464">
        <v>2024</v>
      </c>
      <c r="E1464" t="s">
        <v>1477</v>
      </c>
      <c r="F1464" t="s">
        <v>11</v>
      </c>
      <c r="G1464">
        <v>36</v>
      </c>
      <c r="H1464" t="s">
        <v>20</v>
      </c>
      <c r="I1464">
        <v>4</v>
      </c>
      <c r="J1464">
        <v>65</v>
      </c>
      <c r="K1464">
        <v>260</v>
      </c>
      <c r="L14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65" spans="1:12" x14ac:dyDescent="0.3">
      <c r="A1465">
        <v>1464</v>
      </c>
      <c r="B1465" s="1">
        <v>45536</v>
      </c>
      <c r="C1465" s="1" t="str">
        <f>TEXT(RetailStore[[#This Row],[Date]],"mmm")</f>
        <v>Sep</v>
      </c>
      <c r="D1465">
        <v>2024</v>
      </c>
      <c r="E1465" t="s">
        <v>1478</v>
      </c>
      <c r="F1465" t="s">
        <v>18</v>
      </c>
      <c r="G1465">
        <v>27</v>
      </c>
      <c r="H1465" t="s">
        <v>15</v>
      </c>
      <c r="I1465">
        <v>3</v>
      </c>
      <c r="J1465">
        <v>455</v>
      </c>
      <c r="K1465">
        <v>1365</v>
      </c>
      <c r="L14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66" spans="1:12" x14ac:dyDescent="0.3">
      <c r="A1466">
        <v>1465</v>
      </c>
      <c r="B1466" s="1">
        <v>45419</v>
      </c>
      <c r="C1466" s="1" t="str">
        <f>TEXT(RetailStore[[#This Row],[Date]],"mmm")</f>
        <v>May</v>
      </c>
      <c r="D1466">
        <v>2024</v>
      </c>
      <c r="E1466" t="s">
        <v>1479</v>
      </c>
      <c r="F1466" t="s">
        <v>18</v>
      </c>
      <c r="G1466">
        <v>36</v>
      </c>
      <c r="H1466" t="s">
        <v>12</v>
      </c>
      <c r="I1466">
        <v>1</v>
      </c>
      <c r="J1466">
        <v>307</v>
      </c>
      <c r="K1466">
        <v>307</v>
      </c>
      <c r="L14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67" spans="1:12" x14ac:dyDescent="0.3">
      <c r="A1467">
        <v>1466</v>
      </c>
      <c r="B1467" s="1">
        <v>45331</v>
      </c>
      <c r="C1467" s="1" t="str">
        <f>TEXT(RetailStore[[#This Row],[Date]],"mmm")</f>
        <v>Feb</v>
      </c>
      <c r="D1467">
        <v>2024</v>
      </c>
      <c r="E1467" t="s">
        <v>1480</v>
      </c>
      <c r="F1467" t="s">
        <v>11</v>
      </c>
      <c r="G1467">
        <v>50</v>
      </c>
      <c r="H1467" t="s">
        <v>15</v>
      </c>
      <c r="I1467">
        <v>4</v>
      </c>
      <c r="J1467">
        <v>236</v>
      </c>
      <c r="K1467">
        <v>944</v>
      </c>
      <c r="L14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68" spans="1:12" x14ac:dyDescent="0.3">
      <c r="A1468">
        <v>1467</v>
      </c>
      <c r="B1468" s="1">
        <v>45340</v>
      </c>
      <c r="C1468" s="1" t="str">
        <f>TEXT(RetailStore[[#This Row],[Date]],"mmm")</f>
        <v>Feb</v>
      </c>
      <c r="D1468">
        <v>2024</v>
      </c>
      <c r="E1468" t="s">
        <v>1481</v>
      </c>
      <c r="F1468" t="s">
        <v>18</v>
      </c>
      <c r="G1468">
        <v>60</v>
      </c>
      <c r="H1468" t="s">
        <v>12</v>
      </c>
      <c r="I1468">
        <v>3</v>
      </c>
      <c r="J1468">
        <v>206</v>
      </c>
      <c r="K1468">
        <v>618</v>
      </c>
      <c r="L14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69" spans="1:12" x14ac:dyDescent="0.3">
      <c r="A1469">
        <v>1468</v>
      </c>
      <c r="B1469" s="1">
        <v>45422</v>
      </c>
      <c r="C1469" s="1" t="str">
        <f>TEXT(RetailStore[[#This Row],[Date]],"mmm")</f>
        <v>May</v>
      </c>
      <c r="D1469">
        <v>2024</v>
      </c>
      <c r="E1469" t="s">
        <v>1482</v>
      </c>
      <c r="F1469" t="s">
        <v>11</v>
      </c>
      <c r="G1469">
        <v>50</v>
      </c>
      <c r="H1469" t="s">
        <v>15</v>
      </c>
      <c r="I1469">
        <v>1</v>
      </c>
      <c r="J1469">
        <v>404</v>
      </c>
      <c r="K1469">
        <v>404</v>
      </c>
      <c r="L14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70" spans="1:12" x14ac:dyDescent="0.3">
      <c r="A1470">
        <v>1469</v>
      </c>
      <c r="B1470" s="1">
        <v>45630</v>
      </c>
      <c r="C1470" s="1" t="str">
        <f>TEXT(RetailStore[[#This Row],[Date]],"mmm")</f>
        <v>Dec</v>
      </c>
      <c r="D1470">
        <v>2024</v>
      </c>
      <c r="E1470" t="s">
        <v>1483</v>
      </c>
      <c r="F1470" t="s">
        <v>18</v>
      </c>
      <c r="G1470">
        <v>29</v>
      </c>
      <c r="H1470" t="s">
        <v>15</v>
      </c>
      <c r="I1470">
        <v>4</v>
      </c>
      <c r="J1470">
        <v>48</v>
      </c>
      <c r="K1470">
        <v>192</v>
      </c>
      <c r="L14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71" spans="1:12" x14ac:dyDescent="0.3">
      <c r="A1471">
        <v>1470</v>
      </c>
      <c r="B1471" s="1">
        <v>45334</v>
      </c>
      <c r="C1471" s="1" t="str">
        <f>TEXT(RetailStore[[#This Row],[Date]],"mmm")</f>
        <v>Feb</v>
      </c>
      <c r="D1471">
        <v>2024</v>
      </c>
      <c r="E1471" t="s">
        <v>1484</v>
      </c>
      <c r="F1471" t="s">
        <v>18</v>
      </c>
      <c r="G1471">
        <v>63</v>
      </c>
      <c r="H1471" t="s">
        <v>20</v>
      </c>
      <c r="I1471">
        <v>3</v>
      </c>
      <c r="J1471">
        <v>325</v>
      </c>
      <c r="K1471">
        <v>975</v>
      </c>
      <c r="L14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72" spans="1:12" x14ac:dyDescent="0.3">
      <c r="A1472">
        <v>1471</v>
      </c>
      <c r="B1472" s="1">
        <v>45524</v>
      </c>
      <c r="C1472" s="1" t="str">
        <f>TEXT(RetailStore[[#This Row],[Date]],"mmm")</f>
        <v>Aug</v>
      </c>
      <c r="D1472">
        <v>2024</v>
      </c>
      <c r="E1472" t="s">
        <v>1485</v>
      </c>
      <c r="F1472" t="s">
        <v>18</v>
      </c>
      <c r="G1472">
        <v>57</v>
      </c>
      <c r="H1472" t="s">
        <v>20</v>
      </c>
      <c r="I1472">
        <v>3</v>
      </c>
      <c r="J1472">
        <v>495</v>
      </c>
      <c r="K1472">
        <v>1485</v>
      </c>
      <c r="L14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73" spans="1:12" x14ac:dyDescent="0.3">
      <c r="A1473">
        <v>1472</v>
      </c>
      <c r="B1473" s="1">
        <v>45387</v>
      </c>
      <c r="C1473" s="1" t="str">
        <f>TEXT(RetailStore[[#This Row],[Date]],"mmm")</f>
        <v>Apr</v>
      </c>
      <c r="D1473">
        <v>2024</v>
      </c>
      <c r="E1473" t="s">
        <v>1486</v>
      </c>
      <c r="F1473" t="s">
        <v>11</v>
      </c>
      <c r="G1473">
        <v>29</v>
      </c>
      <c r="H1473" t="s">
        <v>15</v>
      </c>
      <c r="I1473">
        <v>3</v>
      </c>
      <c r="J1473">
        <v>471</v>
      </c>
      <c r="K1473">
        <v>1413</v>
      </c>
      <c r="L14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74" spans="1:12" x14ac:dyDescent="0.3">
      <c r="A1474">
        <v>1473</v>
      </c>
      <c r="B1474" s="1">
        <v>45636</v>
      </c>
      <c r="C1474" s="1" t="str">
        <f>TEXT(RetailStore[[#This Row],[Date]],"mmm")</f>
        <v>Dec</v>
      </c>
      <c r="D1474">
        <v>2024</v>
      </c>
      <c r="E1474" t="s">
        <v>1487</v>
      </c>
      <c r="F1474" t="s">
        <v>11</v>
      </c>
      <c r="G1474">
        <v>45</v>
      </c>
      <c r="H1474" t="s">
        <v>12</v>
      </c>
      <c r="I1474">
        <v>1</v>
      </c>
      <c r="J1474">
        <v>27</v>
      </c>
      <c r="K1474">
        <v>27</v>
      </c>
      <c r="L14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75" spans="1:12" x14ac:dyDescent="0.3">
      <c r="A1475">
        <v>1474</v>
      </c>
      <c r="B1475" s="1">
        <v>45494</v>
      </c>
      <c r="C1475" s="1" t="str">
        <f>TEXT(RetailStore[[#This Row],[Date]],"mmm")</f>
        <v>Jul</v>
      </c>
      <c r="D1475">
        <v>2024</v>
      </c>
      <c r="E1475" t="s">
        <v>1488</v>
      </c>
      <c r="F1475" t="s">
        <v>11</v>
      </c>
      <c r="G1475">
        <v>18</v>
      </c>
      <c r="H1475" t="s">
        <v>15</v>
      </c>
      <c r="I1475">
        <v>4</v>
      </c>
      <c r="J1475">
        <v>260</v>
      </c>
      <c r="K1475">
        <v>1040</v>
      </c>
      <c r="L14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76" spans="1:12" x14ac:dyDescent="0.3">
      <c r="A1476">
        <v>1475</v>
      </c>
      <c r="B1476" s="1">
        <v>45646</v>
      </c>
      <c r="C1476" s="1" t="str">
        <f>TEXT(RetailStore[[#This Row],[Date]],"mmm")</f>
        <v>Dec</v>
      </c>
      <c r="D1476">
        <v>2024</v>
      </c>
      <c r="E1476" t="s">
        <v>1489</v>
      </c>
      <c r="F1476" t="s">
        <v>18</v>
      </c>
      <c r="G1476">
        <v>60</v>
      </c>
      <c r="H1476" t="s">
        <v>12</v>
      </c>
      <c r="I1476">
        <v>4</v>
      </c>
      <c r="J1476">
        <v>180</v>
      </c>
      <c r="K1476">
        <v>720</v>
      </c>
      <c r="L14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77" spans="1:12" x14ac:dyDescent="0.3">
      <c r="A1477">
        <v>1476</v>
      </c>
      <c r="B1477" s="1">
        <v>45608</v>
      </c>
      <c r="C1477" s="1" t="str">
        <f>TEXT(RetailStore[[#This Row],[Date]],"mmm")</f>
        <v>Nov</v>
      </c>
      <c r="D1477">
        <v>2024</v>
      </c>
      <c r="E1477" t="s">
        <v>1490</v>
      </c>
      <c r="F1477" t="s">
        <v>18</v>
      </c>
      <c r="G1477">
        <v>62</v>
      </c>
      <c r="H1477" t="s">
        <v>12</v>
      </c>
      <c r="I1477">
        <v>4</v>
      </c>
      <c r="J1477">
        <v>436</v>
      </c>
      <c r="K1477">
        <v>1744</v>
      </c>
      <c r="L14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78" spans="1:12" x14ac:dyDescent="0.3">
      <c r="A1478">
        <v>1477</v>
      </c>
      <c r="B1478" s="1">
        <v>45446</v>
      </c>
      <c r="C1478" s="1" t="str">
        <f>TEXT(RetailStore[[#This Row],[Date]],"mmm")</f>
        <v>Jun</v>
      </c>
      <c r="D1478">
        <v>2024</v>
      </c>
      <c r="E1478" t="s">
        <v>1491</v>
      </c>
      <c r="F1478" t="s">
        <v>11</v>
      </c>
      <c r="G1478">
        <v>26</v>
      </c>
      <c r="H1478" t="s">
        <v>15</v>
      </c>
      <c r="I1478">
        <v>1</v>
      </c>
      <c r="J1478">
        <v>122</v>
      </c>
      <c r="K1478">
        <v>122</v>
      </c>
      <c r="L14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79" spans="1:12" x14ac:dyDescent="0.3">
      <c r="A1479">
        <v>1478</v>
      </c>
      <c r="B1479" s="1">
        <v>45349</v>
      </c>
      <c r="C1479" s="1" t="str">
        <f>TEXT(RetailStore[[#This Row],[Date]],"mmm")</f>
        <v>Feb</v>
      </c>
      <c r="D1479">
        <v>2024</v>
      </c>
      <c r="E1479" t="s">
        <v>1492</v>
      </c>
      <c r="F1479" t="s">
        <v>11</v>
      </c>
      <c r="G1479">
        <v>62</v>
      </c>
      <c r="H1479" t="s">
        <v>15</v>
      </c>
      <c r="I1479">
        <v>1</v>
      </c>
      <c r="J1479">
        <v>132</v>
      </c>
      <c r="K1479">
        <v>132</v>
      </c>
      <c r="L14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80" spans="1:12" x14ac:dyDescent="0.3">
      <c r="A1480">
        <v>1479</v>
      </c>
      <c r="B1480" s="1">
        <v>45538</v>
      </c>
      <c r="C1480" s="1" t="str">
        <f>TEXT(RetailStore[[#This Row],[Date]],"mmm")</f>
        <v>Sep</v>
      </c>
      <c r="D1480">
        <v>2024</v>
      </c>
      <c r="E1480" t="s">
        <v>1493</v>
      </c>
      <c r="F1480" t="s">
        <v>11</v>
      </c>
      <c r="G1480">
        <v>59</v>
      </c>
      <c r="H1480" t="s">
        <v>15</v>
      </c>
      <c r="I1480">
        <v>4</v>
      </c>
      <c r="J1480">
        <v>456</v>
      </c>
      <c r="K1480">
        <v>1824</v>
      </c>
      <c r="L14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81" spans="1:12" x14ac:dyDescent="0.3">
      <c r="A1481">
        <v>1480</v>
      </c>
      <c r="B1481" s="1">
        <v>45612</v>
      </c>
      <c r="C1481" s="1" t="str">
        <f>TEXT(RetailStore[[#This Row],[Date]],"mmm")</f>
        <v>Nov</v>
      </c>
      <c r="D1481">
        <v>2024</v>
      </c>
      <c r="E1481" t="s">
        <v>1494</v>
      </c>
      <c r="F1481" t="s">
        <v>11</v>
      </c>
      <c r="G1481">
        <v>23</v>
      </c>
      <c r="H1481" t="s">
        <v>20</v>
      </c>
      <c r="I1481">
        <v>4</v>
      </c>
      <c r="J1481">
        <v>100</v>
      </c>
      <c r="K1481">
        <v>400</v>
      </c>
      <c r="L14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82" spans="1:12" x14ac:dyDescent="0.3">
      <c r="A1482">
        <v>1481</v>
      </c>
      <c r="B1482" s="1">
        <v>45534</v>
      </c>
      <c r="C1482" s="1" t="str">
        <f>TEXT(RetailStore[[#This Row],[Date]],"mmm")</f>
        <v>Aug</v>
      </c>
      <c r="D1482">
        <v>2024</v>
      </c>
      <c r="E1482" t="s">
        <v>1495</v>
      </c>
      <c r="F1482" t="s">
        <v>18</v>
      </c>
      <c r="G1482">
        <v>19</v>
      </c>
      <c r="H1482" t="s">
        <v>15</v>
      </c>
      <c r="I1482">
        <v>2</v>
      </c>
      <c r="J1482">
        <v>487</v>
      </c>
      <c r="K1482">
        <v>974</v>
      </c>
      <c r="L14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83" spans="1:12" x14ac:dyDescent="0.3">
      <c r="A1483">
        <v>1482</v>
      </c>
      <c r="B1483" s="1">
        <v>45370</v>
      </c>
      <c r="C1483" s="1" t="str">
        <f>TEXT(RetailStore[[#This Row],[Date]],"mmm")</f>
        <v>Mar</v>
      </c>
      <c r="D1483">
        <v>2024</v>
      </c>
      <c r="E1483" t="s">
        <v>1496</v>
      </c>
      <c r="F1483" t="s">
        <v>18</v>
      </c>
      <c r="G1483">
        <v>49</v>
      </c>
      <c r="H1483" t="s">
        <v>20</v>
      </c>
      <c r="I1483">
        <v>1</v>
      </c>
      <c r="J1483">
        <v>465</v>
      </c>
      <c r="K1483">
        <v>465</v>
      </c>
      <c r="L14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84" spans="1:12" x14ac:dyDescent="0.3">
      <c r="A1484">
        <v>1483</v>
      </c>
      <c r="B1484" s="1">
        <v>45522</v>
      </c>
      <c r="C1484" s="1" t="str">
        <f>TEXT(RetailStore[[#This Row],[Date]],"mmm")</f>
        <v>Aug</v>
      </c>
      <c r="D1484">
        <v>2024</v>
      </c>
      <c r="E1484" t="s">
        <v>1497</v>
      </c>
      <c r="F1484" t="s">
        <v>11</v>
      </c>
      <c r="G1484">
        <v>30</v>
      </c>
      <c r="H1484" t="s">
        <v>20</v>
      </c>
      <c r="I1484">
        <v>4</v>
      </c>
      <c r="J1484">
        <v>51</v>
      </c>
      <c r="K1484">
        <v>204</v>
      </c>
      <c r="L14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85" spans="1:12" x14ac:dyDescent="0.3">
      <c r="A1485">
        <v>1484</v>
      </c>
      <c r="B1485" s="1">
        <v>45462</v>
      </c>
      <c r="C1485" s="1" t="str">
        <f>TEXT(RetailStore[[#This Row],[Date]],"mmm")</f>
        <v>Jun</v>
      </c>
      <c r="D1485">
        <v>2024</v>
      </c>
      <c r="E1485" t="s">
        <v>1498</v>
      </c>
      <c r="F1485" t="s">
        <v>11</v>
      </c>
      <c r="G1485">
        <v>24</v>
      </c>
      <c r="H1485" t="s">
        <v>12</v>
      </c>
      <c r="I1485">
        <v>4</v>
      </c>
      <c r="J1485">
        <v>237</v>
      </c>
      <c r="K1485">
        <v>948</v>
      </c>
      <c r="L14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86" spans="1:12" x14ac:dyDescent="0.3">
      <c r="A1486">
        <v>1485</v>
      </c>
      <c r="B1486" s="1">
        <v>45545</v>
      </c>
      <c r="C1486" s="1" t="str">
        <f>TEXT(RetailStore[[#This Row],[Date]],"mmm")</f>
        <v>Sep</v>
      </c>
      <c r="D1486">
        <v>2024</v>
      </c>
      <c r="E1486" t="s">
        <v>1499</v>
      </c>
      <c r="F1486" t="s">
        <v>18</v>
      </c>
      <c r="G1486">
        <v>20</v>
      </c>
      <c r="H1486" t="s">
        <v>20</v>
      </c>
      <c r="I1486">
        <v>4</v>
      </c>
      <c r="J1486">
        <v>273</v>
      </c>
      <c r="K1486">
        <v>1092</v>
      </c>
      <c r="L14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87" spans="1:12" x14ac:dyDescent="0.3">
      <c r="A1487">
        <v>1486</v>
      </c>
      <c r="B1487" s="1">
        <v>45554</v>
      </c>
      <c r="C1487" s="1" t="str">
        <f>TEXT(RetailStore[[#This Row],[Date]],"mmm")</f>
        <v>Sep</v>
      </c>
      <c r="D1487">
        <v>2024</v>
      </c>
      <c r="E1487" t="s">
        <v>1500</v>
      </c>
      <c r="F1487" t="s">
        <v>18</v>
      </c>
      <c r="G1487">
        <v>32</v>
      </c>
      <c r="H1487" t="s">
        <v>12</v>
      </c>
      <c r="I1487">
        <v>1</v>
      </c>
      <c r="J1487">
        <v>295</v>
      </c>
      <c r="K1487">
        <v>295</v>
      </c>
      <c r="L14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88" spans="1:12" x14ac:dyDescent="0.3">
      <c r="A1488">
        <v>1487</v>
      </c>
      <c r="B1488" s="1">
        <v>45301</v>
      </c>
      <c r="C1488" s="1" t="str">
        <f>TEXT(RetailStore[[#This Row],[Date]],"mmm")</f>
        <v>Jan</v>
      </c>
      <c r="D1488">
        <v>2024</v>
      </c>
      <c r="E1488" t="s">
        <v>1501</v>
      </c>
      <c r="F1488" t="s">
        <v>18</v>
      </c>
      <c r="G1488">
        <v>54</v>
      </c>
      <c r="H1488" t="s">
        <v>20</v>
      </c>
      <c r="I1488">
        <v>1</v>
      </c>
      <c r="J1488">
        <v>162</v>
      </c>
      <c r="K1488">
        <v>162</v>
      </c>
      <c r="L14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89" spans="1:12" x14ac:dyDescent="0.3">
      <c r="A1489">
        <v>1488</v>
      </c>
      <c r="B1489" s="1">
        <v>45623</v>
      </c>
      <c r="C1489" s="1" t="str">
        <f>TEXT(RetailStore[[#This Row],[Date]],"mmm")</f>
        <v>Nov</v>
      </c>
      <c r="D1489">
        <v>2024</v>
      </c>
      <c r="E1489" t="s">
        <v>1502</v>
      </c>
      <c r="F1489" t="s">
        <v>18</v>
      </c>
      <c r="G1489">
        <v>48</v>
      </c>
      <c r="H1489" t="s">
        <v>15</v>
      </c>
      <c r="I1489">
        <v>4</v>
      </c>
      <c r="J1489">
        <v>343</v>
      </c>
      <c r="K1489">
        <v>1372</v>
      </c>
      <c r="L14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90" spans="1:12" x14ac:dyDescent="0.3">
      <c r="A1490">
        <v>1489</v>
      </c>
      <c r="B1490" s="1">
        <v>45622</v>
      </c>
      <c r="C1490" s="1" t="str">
        <f>TEXT(RetailStore[[#This Row],[Date]],"mmm")</f>
        <v>Nov</v>
      </c>
      <c r="D1490">
        <v>2024</v>
      </c>
      <c r="E1490" t="s">
        <v>1503</v>
      </c>
      <c r="F1490" t="s">
        <v>18</v>
      </c>
      <c r="G1490">
        <v>46</v>
      </c>
      <c r="H1490" t="s">
        <v>12</v>
      </c>
      <c r="I1490">
        <v>4</v>
      </c>
      <c r="J1490">
        <v>35</v>
      </c>
      <c r="K1490">
        <v>140</v>
      </c>
      <c r="L14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91" spans="1:12" x14ac:dyDescent="0.3">
      <c r="A1491">
        <v>1490</v>
      </c>
      <c r="B1491" s="1">
        <v>45374</v>
      </c>
      <c r="C1491" s="1" t="str">
        <f>TEXT(RetailStore[[#This Row],[Date]],"mmm")</f>
        <v>Mar</v>
      </c>
      <c r="D1491">
        <v>2024</v>
      </c>
      <c r="E1491" t="s">
        <v>1504</v>
      </c>
      <c r="F1491" t="s">
        <v>18</v>
      </c>
      <c r="G1491">
        <v>64</v>
      </c>
      <c r="H1491" t="s">
        <v>15</v>
      </c>
      <c r="I1491">
        <v>4</v>
      </c>
      <c r="J1491">
        <v>201</v>
      </c>
      <c r="K1491">
        <v>804</v>
      </c>
      <c r="L14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92" spans="1:12" x14ac:dyDescent="0.3">
      <c r="A1492">
        <v>1491</v>
      </c>
      <c r="B1492" s="1">
        <v>45516</v>
      </c>
      <c r="C1492" s="1" t="str">
        <f>TEXT(RetailStore[[#This Row],[Date]],"mmm")</f>
        <v>Aug</v>
      </c>
      <c r="D1492">
        <v>2024</v>
      </c>
      <c r="E1492" t="s">
        <v>1505</v>
      </c>
      <c r="F1492" t="s">
        <v>11</v>
      </c>
      <c r="G1492">
        <v>50</v>
      </c>
      <c r="H1492" t="s">
        <v>15</v>
      </c>
      <c r="I1492">
        <v>3</v>
      </c>
      <c r="J1492">
        <v>496</v>
      </c>
      <c r="K1492">
        <v>1488</v>
      </c>
      <c r="L14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93" spans="1:12" x14ac:dyDescent="0.3">
      <c r="A1493">
        <v>1492</v>
      </c>
      <c r="B1493" s="1">
        <v>45600</v>
      </c>
      <c r="C1493" s="1" t="str">
        <f>TEXT(RetailStore[[#This Row],[Date]],"mmm")</f>
        <v>Nov</v>
      </c>
      <c r="D1493">
        <v>2024</v>
      </c>
      <c r="E1493" t="s">
        <v>1506</v>
      </c>
      <c r="F1493" t="s">
        <v>18</v>
      </c>
      <c r="G1493">
        <v>26</v>
      </c>
      <c r="H1493" t="s">
        <v>20</v>
      </c>
      <c r="I1493">
        <v>4</v>
      </c>
      <c r="J1493">
        <v>238</v>
      </c>
      <c r="K1493">
        <v>952</v>
      </c>
      <c r="L14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94" spans="1:12" x14ac:dyDescent="0.3">
      <c r="A1494">
        <v>1493</v>
      </c>
      <c r="B1494" s="1">
        <v>45636</v>
      </c>
      <c r="C1494" s="1" t="str">
        <f>TEXT(RetailStore[[#This Row],[Date]],"mmm")</f>
        <v>Dec</v>
      </c>
      <c r="D1494">
        <v>2024</v>
      </c>
      <c r="E1494" t="s">
        <v>1507</v>
      </c>
      <c r="F1494" t="s">
        <v>18</v>
      </c>
      <c r="G1494">
        <v>48</v>
      </c>
      <c r="H1494" t="s">
        <v>15</v>
      </c>
      <c r="I1494">
        <v>2</v>
      </c>
      <c r="J1494">
        <v>169</v>
      </c>
      <c r="K1494">
        <v>338</v>
      </c>
      <c r="L14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95" spans="1:12" x14ac:dyDescent="0.3">
      <c r="A1495">
        <v>1494</v>
      </c>
      <c r="B1495" s="1">
        <v>45645</v>
      </c>
      <c r="C1495" s="1" t="str">
        <f>TEXT(RetailStore[[#This Row],[Date]],"mmm")</f>
        <v>Dec</v>
      </c>
      <c r="D1495">
        <v>2024</v>
      </c>
      <c r="E1495" t="s">
        <v>1508</v>
      </c>
      <c r="F1495" t="s">
        <v>11</v>
      </c>
      <c r="G1495">
        <v>60</v>
      </c>
      <c r="H1495" t="s">
        <v>20</v>
      </c>
      <c r="I1495">
        <v>2</v>
      </c>
      <c r="J1495">
        <v>113</v>
      </c>
      <c r="K1495">
        <v>226</v>
      </c>
      <c r="L14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96" spans="1:12" x14ac:dyDescent="0.3">
      <c r="A1496">
        <v>1495</v>
      </c>
      <c r="B1496" s="1">
        <v>45394</v>
      </c>
      <c r="C1496" s="1" t="str">
        <f>TEXT(RetailStore[[#This Row],[Date]],"mmm")</f>
        <v>Apr</v>
      </c>
      <c r="D1496">
        <v>2024</v>
      </c>
      <c r="E1496" t="s">
        <v>1509</v>
      </c>
      <c r="F1496" t="s">
        <v>11</v>
      </c>
      <c r="G1496">
        <v>56</v>
      </c>
      <c r="H1496" t="s">
        <v>20</v>
      </c>
      <c r="I1496">
        <v>1</v>
      </c>
      <c r="J1496">
        <v>431</v>
      </c>
      <c r="K1496">
        <v>431</v>
      </c>
      <c r="L14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497" spans="1:12" x14ac:dyDescent="0.3">
      <c r="A1497">
        <v>1496</v>
      </c>
      <c r="B1497" s="1">
        <v>45504</v>
      </c>
      <c r="C1497" s="1" t="str">
        <f>TEXT(RetailStore[[#This Row],[Date]],"mmm")</f>
        <v>Jul</v>
      </c>
      <c r="D1497">
        <v>2024</v>
      </c>
      <c r="E1497" t="s">
        <v>1510</v>
      </c>
      <c r="F1497" t="s">
        <v>18</v>
      </c>
      <c r="G1497">
        <v>37</v>
      </c>
      <c r="H1497" t="s">
        <v>15</v>
      </c>
      <c r="I1497">
        <v>2</v>
      </c>
      <c r="J1497">
        <v>310</v>
      </c>
      <c r="K1497">
        <v>620</v>
      </c>
      <c r="L14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498" spans="1:12" x14ac:dyDescent="0.3">
      <c r="A1498">
        <v>1497</v>
      </c>
      <c r="B1498" s="1">
        <v>45316</v>
      </c>
      <c r="C1498" s="1" t="str">
        <f>TEXT(RetailStore[[#This Row],[Date]],"mmm")</f>
        <v>Jan</v>
      </c>
      <c r="D1498">
        <v>2024</v>
      </c>
      <c r="E1498" t="s">
        <v>1511</v>
      </c>
      <c r="F1498" t="s">
        <v>11</v>
      </c>
      <c r="G1498">
        <v>40</v>
      </c>
      <c r="H1498" t="s">
        <v>20</v>
      </c>
      <c r="I1498">
        <v>3</v>
      </c>
      <c r="J1498">
        <v>371</v>
      </c>
      <c r="K1498">
        <v>1113</v>
      </c>
      <c r="L14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499" spans="1:12" x14ac:dyDescent="0.3">
      <c r="A1499">
        <v>1498</v>
      </c>
      <c r="B1499" s="1">
        <v>45373</v>
      </c>
      <c r="C1499" s="1" t="str">
        <f>TEXT(RetailStore[[#This Row],[Date]],"mmm")</f>
        <v>Mar</v>
      </c>
      <c r="D1499">
        <v>2024</v>
      </c>
      <c r="E1499" t="s">
        <v>1512</v>
      </c>
      <c r="F1499" t="s">
        <v>11</v>
      </c>
      <c r="G1499">
        <v>50</v>
      </c>
      <c r="H1499" t="s">
        <v>15</v>
      </c>
      <c r="I1499">
        <v>1</v>
      </c>
      <c r="J1499">
        <v>197</v>
      </c>
      <c r="K1499">
        <v>197</v>
      </c>
      <c r="L14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00" spans="1:12" x14ac:dyDescent="0.3">
      <c r="A1500">
        <v>1499</v>
      </c>
      <c r="B1500" s="1">
        <v>45512</v>
      </c>
      <c r="C1500" s="1" t="str">
        <f>TEXT(RetailStore[[#This Row],[Date]],"mmm")</f>
        <v>Aug</v>
      </c>
      <c r="D1500">
        <v>2024</v>
      </c>
      <c r="E1500" t="s">
        <v>1513</v>
      </c>
      <c r="F1500" t="s">
        <v>11</v>
      </c>
      <c r="G1500">
        <v>57</v>
      </c>
      <c r="H1500" t="s">
        <v>15</v>
      </c>
      <c r="I1500">
        <v>1</v>
      </c>
      <c r="J1500">
        <v>312</v>
      </c>
      <c r="K1500">
        <v>312</v>
      </c>
      <c r="L15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01" spans="1:12" x14ac:dyDescent="0.3">
      <c r="A1501">
        <v>1500</v>
      </c>
      <c r="B1501" s="1">
        <v>45406</v>
      </c>
      <c r="C1501" s="1" t="str">
        <f>TEXT(RetailStore[[#This Row],[Date]],"mmm")</f>
        <v>Apr</v>
      </c>
      <c r="D1501">
        <v>2024</v>
      </c>
      <c r="E1501" t="s">
        <v>1514</v>
      </c>
      <c r="F1501" t="s">
        <v>18</v>
      </c>
      <c r="G1501">
        <v>34</v>
      </c>
      <c r="H1501" t="s">
        <v>20</v>
      </c>
      <c r="I1501">
        <v>3</v>
      </c>
      <c r="J1501">
        <v>418</v>
      </c>
      <c r="K1501">
        <v>1254</v>
      </c>
      <c r="L15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02" spans="1:12" x14ac:dyDescent="0.3">
      <c r="A1502">
        <v>1501</v>
      </c>
      <c r="B1502" s="1">
        <v>45315</v>
      </c>
      <c r="C1502" s="1" t="str">
        <f>TEXT(RetailStore[[#This Row],[Date]],"mmm")</f>
        <v>Jan</v>
      </c>
      <c r="D1502">
        <v>2024</v>
      </c>
      <c r="E1502" t="s">
        <v>1515</v>
      </c>
      <c r="F1502" t="s">
        <v>18</v>
      </c>
      <c r="G1502">
        <v>27</v>
      </c>
      <c r="H1502" t="s">
        <v>12</v>
      </c>
      <c r="I1502">
        <v>1</v>
      </c>
      <c r="J1502">
        <v>386</v>
      </c>
      <c r="K1502">
        <v>386</v>
      </c>
      <c r="L15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03" spans="1:12" x14ac:dyDescent="0.3">
      <c r="A1503">
        <v>1502</v>
      </c>
      <c r="B1503" s="1">
        <v>45317</v>
      </c>
      <c r="C1503" s="1" t="str">
        <f>TEXT(RetailStore[[#This Row],[Date]],"mmm")</f>
        <v>Jan</v>
      </c>
      <c r="D1503">
        <v>2024</v>
      </c>
      <c r="E1503" t="s">
        <v>1516</v>
      </c>
      <c r="F1503" t="s">
        <v>18</v>
      </c>
      <c r="G1503">
        <v>47</v>
      </c>
      <c r="H1503" t="s">
        <v>15</v>
      </c>
      <c r="I1503">
        <v>1</v>
      </c>
      <c r="J1503">
        <v>425</v>
      </c>
      <c r="K1503">
        <v>425</v>
      </c>
      <c r="L15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04" spans="1:12" x14ac:dyDescent="0.3">
      <c r="A1504">
        <v>1503</v>
      </c>
      <c r="B1504" s="1">
        <v>45604</v>
      </c>
      <c r="C1504" s="1" t="str">
        <f>TEXT(RetailStore[[#This Row],[Date]],"mmm")</f>
        <v>Nov</v>
      </c>
      <c r="D1504">
        <v>2024</v>
      </c>
      <c r="E1504" t="s">
        <v>1517</v>
      </c>
      <c r="F1504" t="s">
        <v>11</v>
      </c>
      <c r="G1504">
        <v>53</v>
      </c>
      <c r="H1504" t="s">
        <v>15</v>
      </c>
      <c r="I1504">
        <v>1</v>
      </c>
      <c r="J1504">
        <v>110</v>
      </c>
      <c r="K1504">
        <v>110</v>
      </c>
      <c r="L15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05" spans="1:12" x14ac:dyDescent="0.3">
      <c r="A1505">
        <v>1504</v>
      </c>
      <c r="B1505" s="1">
        <v>45614</v>
      </c>
      <c r="C1505" s="1" t="str">
        <f>TEXT(RetailStore[[#This Row],[Date]],"mmm")</f>
        <v>Nov</v>
      </c>
      <c r="D1505">
        <v>2024</v>
      </c>
      <c r="E1505" t="s">
        <v>1518</v>
      </c>
      <c r="F1505" t="s">
        <v>11</v>
      </c>
      <c r="G1505">
        <v>31</v>
      </c>
      <c r="H1505" t="s">
        <v>20</v>
      </c>
      <c r="I1505">
        <v>2</v>
      </c>
      <c r="J1505">
        <v>397</v>
      </c>
      <c r="K1505">
        <v>794</v>
      </c>
      <c r="L15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06" spans="1:12" x14ac:dyDescent="0.3">
      <c r="A1506">
        <v>1505</v>
      </c>
      <c r="B1506" s="1">
        <v>45441</v>
      </c>
      <c r="C1506" s="1" t="str">
        <f>TEXT(RetailStore[[#This Row],[Date]],"mmm")</f>
        <v>May</v>
      </c>
      <c r="D1506">
        <v>2024</v>
      </c>
      <c r="E1506" t="s">
        <v>1519</v>
      </c>
      <c r="F1506" t="s">
        <v>18</v>
      </c>
      <c r="G1506">
        <v>50</v>
      </c>
      <c r="H1506" t="s">
        <v>20</v>
      </c>
      <c r="I1506">
        <v>1</v>
      </c>
      <c r="J1506">
        <v>103</v>
      </c>
      <c r="K1506">
        <v>103</v>
      </c>
      <c r="L15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07" spans="1:12" x14ac:dyDescent="0.3">
      <c r="A1507">
        <v>1506</v>
      </c>
      <c r="B1507" s="1">
        <v>45623</v>
      </c>
      <c r="C1507" s="1" t="str">
        <f>TEXT(RetailStore[[#This Row],[Date]],"mmm")</f>
        <v>Nov</v>
      </c>
      <c r="D1507">
        <v>2024</v>
      </c>
      <c r="E1507" t="s">
        <v>1520</v>
      </c>
      <c r="F1507" t="s">
        <v>18</v>
      </c>
      <c r="G1507">
        <v>39</v>
      </c>
      <c r="H1507" t="s">
        <v>15</v>
      </c>
      <c r="I1507">
        <v>1</v>
      </c>
      <c r="J1507">
        <v>459</v>
      </c>
      <c r="K1507">
        <v>459</v>
      </c>
      <c r="L15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08" spans="1:12" x14ac:dyDescent="0.3">
      <c r="A1508">
        <v>1507</v>
      </c>
      <c r="B1508" s="1">
        <v>45395</v>
      </c>
      <c r="C1508" s="1" t="str">
        <f>TEXT(RetailStore[[#This Row],[Date]],"mmm")</f>
        <v>Apr</v>
      </c>
      <c r="D1508">
        <v>2024</v>
      </c>
      <c r="E1508" t="s">
        <v>1521</v>
      </c>
      <c r="F1508" t="s">
        <v>18</v>
      </c>
      <c r="G1508">
        <v>44</v>
      </c>
      <c r="H1508" t="s">
        <v>15</v>
      </c>
      <c r="I1508">
        <v>2</v>
      </c>
      <c r="J1508">
        <v>452</v>
      </c>
      <c r="K1508">
        <v>904</v>
      </c>
      <c r="L15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09" spans="1:12" x14ac:dyDescent="0.3">
      <c r="A1509">
        <v>1508</v>
      </c>
      <c r="B1509" s="1">
        <v>45534</v>
      </c>
      <c r="C1509" s="1" t="str">
        <f>TEXT(RetailStore[[#This Row],[Date]],"mmm")</f>
        <v>Aug</v>
      </c>
      <c r="D1509">
        <v>2024</v>
      </c>
      <c r="E1509" t="s">
        <v>1522</v>
      </c>
      <c r="F1509" t="s">
        <v>18</v>
      </c>
      <c r="G1509">
        <v>36</v>
      </c>
      <c r="H1509" t="s">
        <v>12</v>
      </c>
      <c r="I1509">
        <v>2</v>
      </c>
      <c r="J1509">
        <v>68</v>
      </c>
      <c r="K1509">
        <v>136</v>
      </c>
      <c r="L15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10" spans="1:12" x14ac:dyDescent="0.3">
      <c r="A1510">
        <v>1509</v>
      </c>
      <c r="B1510" s="1">
        <v>45428</v>
      </c>
      <c r="C1510" s="1" t="str">
        <f>TEXT(RetailStore[[#This Row],[Date]],"mmm")</f>
        <v>May</v>
      </c>
      <c r="D1510">
        <v>2024</v>
      </c>
      <c r="E1510" t="s">
        <v>1523</v>
      </c>
      <c r="F1510" t="s">
        <v>18</v>
      </c>
      <c r="G1510">
        <v>63</v>
      </c>
      <c r="H1510" t="s">
        <v>20</v>
      </c>
      <c r="I1510">
        <v>3</v>
      </c>
      <c r="J1510">
        <v>347</v>
      </c>
      <c r="K1510">
        <v>1041</v>
      </c>
      <c r="L15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11" spans="1:12" x14ac:dyDescent="0.3">
      <c r="A1511">
        <v>1510</v>
      </c>
      <c r="B1511" s="1">
        <v>45632</v>
      </c>
      <c r="C1511" s="1" t="str">
        <f>TEXT(RetailStore[[#This Row],[Date]],"mmm")</f>
        <v>Dec</v>
      </c>
      <c r="D1511">
        <v>2024</v>
      </c>
      <c r="E1511" t="s">
        <v>1524</v>
      </c>
      <c r="F1511" t="s">
        <v>11</v>
      </c>
      <c r="G1511">
        <v>27</v>
      </c>
      <c r="H1511" t="s">
        <v>12</v>
      </c>
      <c r="I1511">
        <v>4</v>
      </c>
      <c r="J1511">
        <v>428</v>
      </c>
      <c r="K1511">
        <v>1712</v>
      </c>
      <c r="L15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12" spans="1:12" x14ac:dyDescent="0.3">
      <c r="A1512">
        <v>1511</v>
      </c>
      <c r="B1512" s="1">
        <v>45408</v>
      </c>
      <c r="C1512" s="1" t="str">
        <f>TEXT(RetailStore[[#This Row],[Date]],"mmm")</f>
        <v>Apr</v>
      </c>
      <c r="D1512">
        <v>2024</v>
      </c>
      <c r="E1512" t="s">
        <v>1525</v>
      </c>
      <c r="F1512" t="s">
        <v>11</v>
      </c>
      <c r="G1512">
        <v>45</v>
      </c>
      <c r="H1512" t="s">
        <v>20</v>
      </c>
      <c r="I1512">
        <v>4</v>
      </c>
      <c r="J1512">
        <v>484</v>
      </c>
      <c r="K1512">
        <v>1936</v>
      </c>
      <c r="L15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13" spans="1:12" x14ac:dyDescent="0.3">
      <c r="A1513">
        <v>1512</v>
      </c>
      <c r="B1513" s="1">
        <v>45526</v>
      </c>
      <c r="C1513" s="1" t="str">
        <f>TEXT(RetailStore[[#This Row],[Date]],"mmm")</f>
        <v>Aug</v>
      </c>
      <c r="D1513">
        <v>2024</v>
      </c>
      <c r="E1513" t="s">
        <v>1526</v>
      </c>
      <c r="F1513" t="s">
        <v>18</v>
      </c>
      <c r="G1513">
        <v>19</v>
      </c>
      <c r="H1513" t="s">
        <v>20</v>
      </c>
      <c r="I1513">
        <v>2</v>
      </c>
      <c r="J1513">
        <v>419</v>
      </c>
      <c r="K1513">
        <v>838</v>
      </c>
      <c r="L15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14" spans="1:12" x14ac:dyDescent="0.3">
      <c r="A1514">
        <v>1513</v>
      </c>
      <c r="B1514" s="1">
        <v>45297</v>
      </c>
      <c r="C1514" s="1" t="str">
        <f>TEXT(RetailStore[[#This Row],[Date]],"mmm")</f>
        <v>Jan</v>
      </c>
      <c r="D1514">
        <v>2024</v>
      </c>
      <c r="E1514" t="s">
        <v>1527</v>
      </c>
      <c r="F1514" t="s">
        <v>11</v>
      </c>
      <c r="G1514">
        <v>23</v>
      </c>
      <c r="H1514" t="s">
        <v>20</v>
      </c>
      <c r="I1514">
        <v>3</v>
      </c>
      <c r="J1514">
        <v>230</v>
      </c>
      <c r="K1514">
        <v>690</v>
      </c>
      <c r="L15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15" spans="1:12" x14ac:dyDescent="0.3">
      <c r="A1515">
        <v>1514</v>
      </c>
      <c r="B1515" s="1">
        <v>45376</v>
      </c>
      <c r="C1515" s="1" t="str">
        <f>TEXT(RetailStore[[#This Row],[Date]],"mmm")</f>
        <v>Mar</v>
      </c>
      <c r="D1515">
        <v>2024</v>
      </c>
      <c r="E1515" t="s">
        <v>1528</v>
      </c>
      <c r="F1515" t="s">
        <v>18</v>
      </c>
      <c r="G1515">
        <v>21</v>
      </c>
      <c r="H1515" t="s">
        <v>20</v>
      </c>
      <c r="I1515">
        <v>1</v>
      </c>
      <c r="J1515">
        <v>363</v>
      </c>
      <c r="K1515">
        <v>363</v>
      </c>
      <c r="L15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16" spans="1:12" x14ac:dyDescent="0.3">
      <c r="A1516">
        <v>1515</v>
      </c>
      <c r="B1516" s="1">
        <v>45620</v>
      </c>
      <c r="C1516" s="1" t="str">
        <f>TEXT(RetailStore[[#This Row],[Date]],"mmm")</f>
        <v>Nov</v>
      </c>
      <c r="D1516">
        <v>2024</v>
      </c>
      <c r="E1516" t="s">
        <v>1529</v>
      </c>
      <c r="F1516" t="s">
        <v>11</v>
      </c>
      <c r="G1516">
        <v>54</v>
      </c>
      <c r="H1516" t="s">
        <v>15</v>
      </c>
      <c r="I1516">
        <v>3</v>
      </c>
      <c r="J1516">
        <v>239</v>
      </c>
      <c r="K1516">
        <v>717</v>
      </c>
      <c r="L15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17" spans="1:12" x14ac:dyDescent="0.3">
      <c r="A1517">
        <v>1516</v>
      </c>
      <c r="B1517" s="1">
        <v>45497</v>
      </c>
      <c r="C1517" s="1" t="str">
        <f>TEXT(RetailStore[[#This Row],[Date]],"mmm")</f>
        <v>Jul</v>
      </c>
      <c r="D1517">
        <v>2024</v>
      </c>
      <c r="E1517" t="s">
        <v>1530</v>
      </c>
      <c r="F1517" t="s">
        <v>18</v>
      </c>
      <c r="G1517">
        <v>64</v>
      </c>
      <c r="H1517" t="s">
        <v>12</v>
      </c>
      <c r="I1517">
        <v>3</v>
      </c>
      <c r="J1517">
        <v>490</v>
      </c>
      <c r="K1517">
        <v>1470</v>
      </c>
      <c r="L15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18" spans="1:12" x14ac:dyDescent="0.3">
      <c r="A1518">
        <v>1517</v>
      </c>
      <c r="B1518" s="1">
        <v>45468</v>
      </c>
      <c r="C1518" s="1" t="str">
        <f>TEXT(RetailStore[[#This Row],[Date]],"mmm")</f>
        <v>Jun</v>
      </c>
      <c r="D1518">
        <v>2024</v>
      </c>
      <c r="E1518" t="s">
        <v>1531</v>
      </c>
      <c r="F1518" t="s">
        <v>11</v>
      </c>
      <c r="G1518">
        <v>35</v>
      </c>
      <c r="H1518" t="s">
        <v>12</v>
      </c>
      <c r="I1518">
        <v>2</v>
      </c>
      <c r="J1518">
        <v>383</v>
      </c>
      <c r="K1518">
        <v>766</v>
      </c>
      <c r="L15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19" spans="1:12" x14ac:dyDescent="0.3">
      <c r="A1519">
        <v>1518</v>
      </c>
      <c r="B1519" s="1">
        <v>45498</v>
      </c>
      <c r="C1519" s="1" t="str">
        <f>TEXT(RetailStore[[#This Row],[Date]],"mmm")</f>
        <v>Jul</v>
      </c>
      <c r="D1519">
        <v>2024</v>
      </c>
      <c r="E1519" t="s">
        <v>1532</v>
      </c>
      <c r="F1519" t="s">
        <v>18</v>
      </c>
      <c r="G1519">
        <v>59</v>
      </c>
      <c r="H1519" t="s">
        <v>15</v>
      </c>
      <c r="I1519">
        <v>4</v>
      </c>
      <c r="J1519">
        <v>382</v>
      </c>
      <c r="K1519">
        <v>1528</v>
      </c>
      <c r="L15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20" spans="1:12" x14ac:dyDescent="0.3">
      <c r="A1520">
        <v>1519</v>
      </c>
      <c r="B1520" s="1">
        <v>45468</v>
      </c>
      <c r="C1520" s="1" t="str">
        <f>TEXT(RetailStore[[#This Row],[Date]],"mmm")</f>
        <v>Jun</v>
      </c>
      <c r="D1520">
        <v>2024</v>
      </c>
      <c r="E1520" t="s">
        <v>1533</v>
      </c>
      <c r="F1520" t="s">
        <v>18</v>
      </c>
      <c r="G1520">
        <v>30</v>
      </c>
      <c r="H1520" t="s">
        <v>20</v>
      </c>
      <c r="I1520">
        <v>1</v>
      </c>
      <c r="J1520">
        <v>43</v>
      </c>
      <c r="K1520">
        <v>43</v>
      </c>
      <c r="L15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21" spans="1:12" x14ac:dyDescent="0.3">
      <c r="A1521">
        <v>1520</v>
      </c>
      <c r="B1521" s="1">
        <v>45567</v>
      </c>
      <c r="C1521" s="1" t="str">
        <f>TEXT(RetailStore[[#This Row],[Date]],"mmm")</f>
        <v>Oct</v>
      </c>
      <c r="D1521">
        <v>2024</v>
      </c>
      <c r="E1521" t="s">
        <v>1534</v>
      </c>
      <c r="F1521" t="s">
        <v>18</v>
      </c>
      <c r="G1521">
        <v>42</v>
      </c>
      <c r="H1521" t="s">
        <v>12</v>
      </c>
      <c r="I1521">
        <v>2</v>
      </c>
      <c r="J1521">
        <v>291</v>
      </c>
      <c r="K1521">
        <v>582</v>
      </c>
      <c r="L15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22" spans="1:12" x14ac:dyDescent="0.3">
      <c r="A1522">
        <v>1521</v>
      </c>
      <c r="B1522" s="1">
        <v>45568</v>
      </c>
      <c r="C1522" s="1" t="str">
        <f>TEXT(RetailStore[[#This Row],[Date]],"mmm")</f>
        <v>Oct</v>
      </c>
      <c r="D1522">
        <v>2024</v>
      </c>
      <c r="E1522" t="s">
        <v>1535</v>
      </c>
      <c r="F1522" t="s">
        <v>18</v>
      </c>
      <c r="G1522">
        <v>31</v>
      </c>
      <c r="H1522" t="s">
        <v>15</v>
      </c>
      <c r="I1522">
        <v>3</v>
      </c>
      <c r="J1522">
        <v>291</v>
      </c>
      <c r="K1522">
        <v>873</v>
      </c>
      <c r="L15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23" spans="1:12" x14ac:dyDescent="0.3">
      <c r="A1523">
        <v>1522</v>
      </c>
      <c r="B1523" s="1">
        <v>45466</v>
      </c>
      <c r="C1523" s="1" t="str">
        <f>TEXT(RetailStore[[#This Row],[Date]],"mmm")</f>
        <v>Jun</v>
      </c>
      <c r="D1523">
        <v>2024</v>
      </c>
      <c r="E1523" t="s">
        <v>1536</v>
      </c>
      <c r="F1523" t="s">
        <v>11</v>
      </c>
      <c r="G1523">
        <v>19</v>
      </c>
      <c r="H1523" t="s">
        <v>15</v>
      </c>
      <c r="I1523">
        <v>3</v>
      </c>
      <c r="J1523">
        <v>148</v>
      </c>
      <c r="K1523">
        <v>444</v>
      </c>
      <c r="L15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24" spans="1:12" x14ac:dyDescent="0.3">
      <c r="A1524">
        <v>1523</v>
      </c>
      <c r="B1524" s="1">
        <v>45447</v>
      </c>
      <c r="C1524" s="1" t="str">
        <f>TEXT(RetailStore[[#This Row],[Date]],"mmm")</f>
        <v>Jun</v>
      </c>
      <c r="D1524">
        <v>2024</v>
      </c>
      <c r="E1524" t="s">
        <v>1537</v>
      </c>
      <c r="F1524" t="s">
        <v>18</v>
      </c>
      <c r="G1524">
        <v>50</v>
      </c>
      <c r="H1524" t="s">
        <v>15</v>
      </c>
      <c r="I1524">
        <v>1</v>
      </c>
      <c r="J1524">
        <v>455</v>
      </c>
      <c r="K1524">
        <v>455</v>
      </c>
      <c r="L15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25" spans="1:12" x14ac:dyDescent="0.3">
      <c r="A1525">
        <v>1524</v>
      </c>
      <c r="B1525" s="1">
        <v>45482</v>
      </c>
      <c r="C1525" s="1" t="str">
        <f>TEXT(RetailStore[[#This Row],[Date]],"mmm")</f>
        <v>Jul</v>
      </c>
      <c r="D1525">
        <v>2024</v>
      </c>
      <c r="E1525" t="s">
        <v>1538</v>
      </c>
      <c r="F1525" t="s">
        <v>18</v>
      </c>
      <c r="G1525">
        <v>58</v>
      </c>
      <c r="H1525" t="s">
        <v>12</v>
      </c>
      <c r="I1525">
        <v>3</v>
      </c>
      <c r="J1525">
        <v>88</v>
      </c>
      <c r="K1525">
        <v>264</v>
      </c>
      <c r="L15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26" spans="1:12" x14ac:dyDescent="0.3">
      <c r="A1526">
        <v>1525</v>
      </c>
      <c r="B1526" s="1">
        <v>45316</v>
      </c>
      <c r="C1526" s="1" t="str">
        <f>TEXT(RetailStore[[#This Row],[Date]],"mmm")</f>
        <v>Jan</v>
      </c>
      <c r="D1526">
        <v>2024</v>
      </c>
      <c r="E1526" t="s">
        <v>1539</v>
      </c>
      <c r="F1526" t="s">
        <v>11</v>
      </c>
      <c r="G1526">
        <v>46</v>
      </c>
      <c r="H1526" t="s">
        <v>20</v>
      </c>
      <c r="I1526">
        <v>1</v>
      </c>
      <c r="J1526">
        <v>257</v>
      </c>
      <c r="K1526">
        <v>257</v>
      </c>
      <c r="L15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27" spans="1:12" x14ac:dyDescent="0.3">
      <c r="A1527">
        <v>1526</v>
      </c>
      <c r="B1527" s="1">
        <v>45465</v>
      </c>
      <c r="C1527" s="1" t="str">
        <f>TEXT(RetailStore[[#This Row],[Date]],"mmm")</f>
        <v>Jun</v>
      </c>
      <c r="D1527">
        <v>2024</v>
      </c>
      <c r="E1527" t="s">
        <v>1540</v>
      </c>
      <c r="F1527" t="s">
        <v>11</v>
      </c>
      <c r="G1527">
        <v>55</v>
      </c>
      <c r="H1527" t="s">
        <v>12</v>
      </c>
      <c r="I1527">
        <v>2</v>
      </c>
      <c r="J1527">
        <v>204</v>
      </c>
      <c r="K1527">
        <v>408</v>
      </c>
      <c r="L15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28" spans="1:12" x14ac:dyDescent="0.3">
      <c r="A1528">
        <v>1527</v>
      </c>
      <c r="B1528" s="1">
        <v>45445</v>
      </c>
      <c r="C1528" s="1" t="str">
        <f>TEXT(RetailStore[[#This Row],[Date]],"mmm")</f>
        <v>Jun</v>
      </c>
      <c r="D1528">
        <v>2024</v>
      </c>
      <c r="E1528" t="s">
        <v>1541</v>
      </c>
      <c r="F1528" t="s">
        <v>18</v>
      </c>
      <c r="G1528">
        <v>60</v>
      </c>
      <c r="H1528" t="s">
        <v>12</v>
      </c>
      <c r="I1528">
        <v>2</v>
      </c>
      <c r="J1528">
        <v>390</v>
      </c>
      <c r="K1528">
        <v>780</v>
      </c>
      <c r="L15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29" spans="1:12" x14ac:dyDescent="0.3">
      <c r="A1529">
        <v>1528</v>
      </c>
      <c r="B1529" s="1">
        <v>45485</v>
      </c>
      <c r="C1529" s="1" t="str">
        <f>TEXT(RetailStore[[#This Row],[Date]],"mmm")</f>
        <v>Jul</v>
      </c>
      <c r="D1529">
        <v>2024</v>
      </c>
      <c r="E1529" t="s">
        <v>1542</v>
      </c>
      <c r="F1529" t="s">
        <v>11</v>
      </c>
      <c r="G1529">
        <v>24</v>
      </c>
      <c r="H1529" t="s">
        <v>20</v>
      </c>
      <c r="I1529">
        <v>2</v>
      </c>
      <c r="J1529">
        <v>446</v>
      </c>
      <c r="K1529">
        <v>892</v>
      </c>
      <c r="L15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30" spans="1:12" x14ac:dyDescent="0.3">
      <c r="A1530">
        <v>1529</v>
      </c>
      <c r="B1530" s="1">
        <v>45476</v>
      </c>
      <c r="C1530" s="1" t="str">
        <f>TEXT(RetailStore[[#This Row],[Date]],"mmm")</f>
        <v>Jul</v>
      </c>
      <c r="D1530">
        <v>2024</v>
      </c>
      <c r="E1530" t="s">
        <v>1543</v>
      </c>
      <c r="F1530" t="s">
        <v>18</v>
      </c>
      <c r="G1530">
        <v>24</v>
      </c>
      <c r="H1530" t="s">
        <v>15</v>
      </c>
      <c r="I1530">
        <v>4</v>
      </c>
      <c r="J1530">
        <v>449</v>
      </c>
      <c r="K1530">
        <v>1796</v>
      </c>
      <c r="L15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31" spans="1:12" x14ac:dyDescent="0.3">
      <c r="A1531">
        <v>1530</v>
      </c>
      <c r="B1531" s="1">
        <v>45502</v>
      </c>
      <c r="C1531" s="1" t="str">
        <f>TEXT(RetailStore[[#This Row],[Date]],"mmm")</f>
        <v>Jul</v>
      </c>
      <c r="D1531">
        <v>2024</v>
      </c>
      <c r="E1531" t="s">
        <v>1544</v>
      </c>
      <c r="F1531" t="s">
        <v>11</v>
      </c>
      <c r="G1531">
        <v>23</v>
      </c>
      <c r="H1531" t="s">
        <v>15</v>
      </c>
      <c r="I1531">
        <v>4</v>
      </c>
      <c r="J1531">
        <v>479</v>
      </c>
      <c r="K1531">
        <v>1916</v>
      </c>
      <c r="L15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32" spans="1:12" x14ac:dyDescent="0.3">
      <c r="A1532">
        <v>1531</v>
      </c>
      <c r="B1532" s="1">
        <v>45358</v>
      </c>
      <c r="C1532" s="1" t="str">
        <f>TEXT(RetailStore[[#This Row],[Date]],"mmm")</f>
        <v>Mar</v>
      </c>
      <c r="D1532">
        <v>2024</v>
      </c>
      <c r="E1532" t="s">
        <v>1545</v>
      </c>
      <c r="F1532" t="s">
        <v>18</v>
      </c>
      <c r="G1532">
        <v>31</v>
      </c>
      <c r="H1532" t="s">
        <v>20</v>
      </c>
      <c r="I1532">
        <v>1</v>
      </c>
      <c r="J1532">
        <v>214</v>
      </c>
      <c r="K1532">
        <v>214</v>
      </c>
      <c r="L15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33" spans="1:12" x14ac:dyDescent="0.3">
      <c r="A1533">
        <v>1532</v>
      </c>
      <c r="B1533" s="1">
        <v>45638</v>
      </c>
      <c r="C1533" s="1" t="str">
        <f>TEXT(RetailStore[[#This Row],[Date]],"mmm")</f>
        <v>Dec</v>
      </c>
      <c r="D1533">
        <v>2024</v>
      </c>
      <c r="E1533" t="s">
        <v>1546</v>
      </c>
      <c r="F1533" t="s">
        <v>18</v>
      </c>
      <c r="G1533">
        <v>55</v>
      </c>
      <c r="H1533" t="s">
        <v>12</v>
      </c>
      <c r="I1533">
        <v>4</v>
      </c>
      <c r="J1533">
        <v>471</v>
      </c>
      <c r="K1533">
        <v>1884</v>
      </c>
      <c r="L15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34" spans="1:12" x14ac:dyDescent="0.3">
      <c r="A1534">
        <v>1533</v>
      </c>
      <c r="B1534" s="1">
        <v>45427</v>
      </c>
      <c r="C1534" s="1" t="str">
        <f>TEXT(RetailStore[[#This Row],[Date]],"mmm")</f>
        <v>May</v>
      </c>
      <c r="D1534">
        <v>2024</v>
      </c>
      <c r="E1534" t="s">
        <v>1547</v>
      </c>
      <c r="F1534" t="s">
        <v>18</v>
      </c>
      <c r="G1534">
        <v>58</v>
      </c>
      <c r="H1534" t="s">
        <v>20</v>
      </c>
      <c r="I1534">
        <v>4</v>
      </c>
      <c r="J1534">
        <v>377</v>
      </c>
      <c r="K1534">
        <v>1508</v>
      </c>
      <c r="L15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35" spans="1:12" x14ac:dyDescent="0.3">
      <c r="A1535">
        <v>1534</v>
      </c>
      <c r="B1535" s="1">
        <v>45542</v>
      </c>
      <c r="C1535" s="1" t="str">
        <f>TEXT(RetailStore[[#This Row],[Date]],"mmm")</f>
        <v>Sep</v>
      </c>
      <c r="D1535">
        <v>2024</v>
      </c>
      <c r="E1535" t="s">
        <v>1548</v>
      </c>
      <c r="F1535" t="s">
        <v>18</v>
      </c>
      <c r="G1535">
        <v>28</v>
      </c>
      <c r="H1535" t="s">
        <v>15</v>
      </c>
      <c r="I1535">
        <v>2</v>
      </c>
      <c r="J1535">
        <v>273</v>
      </c>
      <c r="K1535">
        <v>546</v>
      </c>
      <c r="L15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36" spans="1:12" x14ac:dyDescent="0.3">
      <c r="A1536">
        <v>1535</v>
      </c>
      <c r="B1536" s="1">
        <v>45656</v>
      </c>
      <c r="C1536" s="1" t="str">
        <f>TEXT(RetailStore[[#This Row],[Date]],"mmm")</f>
        <v>Dec</v>
      </c>
      <c r="D1536">
        <v>2024</v>
      </c>
      <c r="E1536" t="s">
        <v>1549</v>
      </c>
      <c r="F1536" t="s">
        <v>18</v>
      </c>
      <c r="G1536">
        <v>26</v>
      </c>
      <c r="H1536" t="s">
        <v>12</v>
      </c>
      <c r="I1536">
        <v>1</v>
      </c>
      <c r="J1536">
        <v>380</v>
      </c>
      <c r="K1536">
        <v>380</v>
      </c>
      <c r="L15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37" spans="1:12" x14ac:dyDescent="0.3">
      <c r="A1537">
        <v>1536</v>
      </c>
      <c r="B1537" s="1">
        <v>45400</v>
      </c>
      <c r="C1537" s="1" t="str">
        <f>TEXT(RetailStore[[#This Row],[Date]],"mmm")</f>
        <v>Apr</v>
      </c>
      <c r="D1537">
        <v>2024</v>
      </c>
      <c r="E1537" t="s">
        <v>1550</v>
      </c>
      <c r="F1537" t="s">
        <v>18</v>
      </c>
      <c r="G1537">
        <v>48</v>
      </c>
      <c r="H1537" t="s">
        <v>15</v>
      </c>
      <c r="I1537">
        <v>2</v>
      </c>
      <c r="J1537">
        <v>311</v>
      </c>
      <c r="K1537">
        <v>622</v>
      </c>
      <c r="L15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38" spans="1:12" x14ac:dyDescent="0.3">
      <c r="A1538">
        <v>1537</v>
      </c>
      <c r="B1538" s="1">
        <v>45481</v>
      </c>
      <c r="C1538" s="1" t="str">
        <f>TEXT(RetailStore[[#This Row],[Date]],"mmm")</f>
        <v>Jul</v>
      </c>
      <c r="D1538">
        <v>2024</v>
      </c>
      <c r="E1538" t="s">
        <v>1551</v>
      </c>
      <c r="F1538" t="s">
        <v>11</v>
      </c>
      <c r="G1538">
        <v>56</v>
      </c>
      <c r="H1538" t="s">
        <v>20</v>
      </c>
      <c r="I1538">
        <v>1</v>
      </c>
      <c r="J1538">
        <v>86</v>
      </c>
      <c r="K1538">
        <v>86</v>
      </c>
      <c r="L15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39" spans="1:12" x14ac:dyDescent="0.3">
      <c r="A1539">
        <v>1538</v>
      </c>
      <c r="B1539" s="1">
        <v>45481</v>
      </c>
      <c r="C1539" s="1" t="str">
        <f>TEXT(RetailStore[[#This Row],[Date]],"mmm")</f>
        <v>Jul</v>
      </c>
      <c r="D1539">
        <v>2024</v>
      </c>
      <c r="E1539" t="s">
        <v>1552</v>
      </c>
      <c r="F1539" t="s">
        <v>18</v>
      </c>
      <c r="G1539">
        <v>20</v>
      </c>
      <c r="H1539" t="s">
        <v>12</v>
      </c>
      <c r="I1539">
        <v>2</v>
      </c>
      <c r="J1539">
        <v>85</v>
      </c>
      <c r="K1539">
        <v>170</v>
      </c>
      <c r="L15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40" spans="1:12" x14ac:dyDescent="0.3">
      <c r="A1540">
        <v>1539</v>
      </c>
      <c r="B1540" s="1">
        <v>45482</v>
      </c>
      <c r="C1540" s="1" t="str">
        <f>TEXT(RetailStore[[#This Row],[Date]],"mmm")</f>
        <v>Jul</v>
      </c>
      <c r="D1540">
        <v>2024</v>
      </c>
      <c r="E1540" t="s">
        <v>1553</v>
      </c>
      <c r="F1540" t="s">
        <v>18</v>
      </c>
      <c r="G1540">
        <v>41</v>
      </c>
      <c r="H1540" t="s">
        <v>20</v>
      </c>
      <c r="I1540">
        <v>3</v>
      </c>
      <c r="J1540">
        <v>273</v>
      </c>
      <c r="K1540">
        <v>819</v>
      </c>
      <c r="L15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41" spans="1:12" x14ac:dyDescent="0.3">
      <c r="A1541">
        <v>1540</v>
      </c>
      <c r="B1541" s="1">
        <v>45306</v>
      </c>
      <c r="C1541" s="1" t="str">
        <f>TEXT(RetailStore[[#This Row],[Date]],"mmm")</f>
        <v>Jan</v>
      </c>
      <c r="D1541">
        <v>2024</v>
      </c>
      <c r="E1541" t="s">
        <v>1554</v>
      </c>
      <c r="F1541" t="s">
        <v>11</v>
      </c>
      <c r="G1541">
        <v>27</v>
      </c>
      <c r="H1541" t="s">
        <v>12</v>
      </c>
      <c r="I1541">
        <v>4</v>
      </c>
      <c r="J1541">
        <v>49</v>
      </c>
      <c r="K1541">
        <v>196</v>
      </c>
      <c r="L15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42" spans="1:12" x14ac:dyDescent="0.3">
      <c r="A1542">
        <v>1541</v>
      </c>
      <c r="B1542" s="1">
        <v>45448</v>
      </c>
      <c r="C1542" s="1" t="str">
        <f>TEXT(RetailStore[[#This Row],[Date]],"mmm")</f>
        <v>Jun</v>
      </c>
      <c r="D1542">
        <v>2024</v>
      </c>
      <c r="E1542" t="s">
        <v>1555</v>
      </c>
      <c r="F1542" t="s">
        <v>18</v>
      </c>
      <c r="G1542">
        <v>31</v>
      </c>
      <c r="H1542" t="s">
        <v>15</v>
      </c>
      <c r="I1542">
        <v>4</v>
      </c>
      <c r="J1542">
        <v>26</v>
      </c>
      <c r="K1542">
        <v>104</v>
      </c>
      <c r="L15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43" spans="1:12" x14ac:dyDescent="0.3">
      <c r="A1543">
        <v>1542</v>
      </c>
      <c r="B1543" s="1">
        <v>45354</v>
      </c>
      <c r="C1543" s="1" t="str">
        <f>TEXT(RetailStore[[#This Row],[Date]],"mmm")</f>
        <v>Mar</v>
      </c>
      <c r="D1543">
        <v>2024</v>
      </c>
      <c r="E1543" t="s">
        <v>1556</v>
      </c>
      <c r="F1543" t="s">
        <v>18</v>
      </c>
      <c r="G1543">
        <v>22</v>
      </c>
      <c r="H1543" t="s">
        <v>15</v>
      </c>
      <c r="I1543">
        <v>4</v>
      </c>
      <c r="J1543">
        <v>271</v>
      </c>
      <c r="K1543">
        <v>1084</v>
      </c>
      <c r="L15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44" spans="1:12" x14ac:dyDescent="0.3">
      <c r="A1544">
        <v>1543</v>
      </c>
      <c r="B1544" s="1">
        <v>45585</v>
      </c>
      <c r="C1544" s="1" t="str">
        <f>TEXT(RetailStore[[#This Row],[Date]],"mmm")</f>
        <v>Oct</v>
      </c>
      <c r="D1544">
        <v>2024</v>
      </c>
      <c r="E1544" t="s">
        <v>1557</v>
      </c>
      <c r="F1544" t="s">
        <v>18</v>
      </c>
      <c r="G1544">
        <v>54</v>
      </c>
      <c r="H1544" t="s">
        <v>20</v>
      </c>
      <c r="I1544">
        <v>3</v>
      </c>
      <c r="J1544">
        <v>425</v>
      </c>
      <c r="K1544">
        <v>1275</v>
      </c>
      <c r="L15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45" spans="1:12" x14ac:dyDescent="0.3">
      <c r="A1545">
        <v>1544</v>
      </c>
      <c r="B1545" s="1">
        <v>45485</v>
      </c>
      <c r="C1545" s="1" t="str">
        <f>TEXT(RetailStore[[#This Row],[Date]],"mmm")</f>
        <v>Jul</v>
      </c>
      <c r="D1545">
        <v>2024</v>
      </c>
      <c r="E1545" t="s">
        <v>1558</v>
      </c>
      <c r="F1545" t="s">
        <v>18</v>
      </c>
      <c r="G1545">
        <v>64</v>
      </c>
      <c r="H1545" t="s">
        <v>12</v>
      </c>
      <c r="I1545">
        <v>2</v>
      </c>
      <c r="J1545">
        <v>415</v>
      </c>
      <c r="K1545">
        <v>830</v>
      </c>
      <c r="L15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46" spans="1:12" x14ac:dyDescent="0.3">
      <c r="A1546">
        <v>1545</v>
      </c>
      <c r="B1546" s="1">
        <v>45362</v>
      </c>
      <c r="C1546" s="1" t="str">
        <f>TEXT(RetailStore[[#This Row],[Date]],"mmm")</f>
        <v>Mar</v>
      </c>
      <c r="D1546">
        <v>2024</v>
      </c>
      <c r="E1546" t="s">
        <v>1559</v>
      </c>
      <c r="F1546" t="s">
        <v>18</v>
      </c>
      <c r="G1546">
        <v>46</v>
      </c>
      <c r="H1546" t="s">
        <v>12</v>
      </c>
      <c r="I1546">
        <v>4</v>
      </c>
      <c r="J1546">
        <v>101</v>
      </c>
      <c r="K1546">
        <v>404</v>
      </c>
      <c r="L15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47" spans="1:12" x14ac:dyDescent="0.3">
      <c r="A1547">
        <v>1546</v>
      </c>
      <c r="B1547" s="1">
        <v>45458</v>
      </c>
      <c r="C1547" s="1" t="str">
        <f>TEXT(RetailStore[[#This Row],[Date]],"mmm")</f>
        <v>Jun</v>
      </c>
      <c r="D1547">
        <v>2024</v>
      </c>
      <c r="E1547" t="s">
        <v>1560</v>
      </c>
      <c r="F1547" t="s">
        <v>11</v>
      </c>
      <c r="G1547">
        <v>57</v>
      </c>
      <c r="H1547" t="s">
        <v>12</v>
      </c>
      <c r="I1547">
        <v>4</v>
      </c>
      <c r="J1547">
        <v>223</v>
      </c>
      <c r="K1547">
        <v>892</v>
      </c>
      <c r="L15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48" spans="1:12" x14ac:dyDescent="0.3">
      <c r="A1548">
        <v>1547</v>
      </c>
      <c r="B1548" s="1">
        <v>45411</v>
      </c>
      <c r="C1548" s="1" t="str">
        <f>TEXT(RetailStore[[#This Row],[Date]],"mmm")</f>
        <v>Apr</v>
      </c>
      <c r="D1548">
        <v>2024</v>
      </c>
      <c r="E1548" t="s">
        <v>1561</v>
      </c>
      <c r="F1548" t="s">
        <v>18</v>
      </c>
      <c r="G1548">
        <v>39</v>
      </c>
      <c r="H1548" t="s">
        <v>12</v>
      </c>
      <c r="I1548">
        <v>1</v>
      </c>
      <c r="J1548">
        <v>368</v>
      </c>
      <c r="K1548">
        <v>368</v>
      </c>
      <c r="L15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49" spans="1:12" x14ac:dyDescent="0.3">
      <c r="A1549">
        <v>1548</v>
      </c>
      <c r="B1549" s="1">
        <v>45518</v>
      </c>
      <c r="C1549" s="1" t="str">
        <f>TEXT(RetailStore[[#This Row],[Date]],"mmm")</f>
        <v>Aug</v>
      </c>
      <c r="D1549">
        <v>2024</v>
      </c>
      <c r="E1549" t="s">
        <v>1562</v>
      </c>
      <c r="F1549" t="s">
        <v>18</v>
      </c>
      <c r="G1549">
        <v>59</v>
      </c>
      <c r="H1549" t="s">
        <v>15</v>
      </c>
      <c r="I1549">
        <v>2</v>
      </c>
      <c r="J1549">
        <v>387</v>
      </c>
      <c r="K1549">
        <v>774</v>
      </c>
      <c r="L15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50" spans="1:12" x14ac:dyDescent="0.3">
      <c r="A1550">
        <v>1549</v>
      </c>
      <c r="B1550" s="1">
        <v>45304</v>
      </c>
      <c r="C1550" s="1" t="str">
        <f>TEXT(RetailStore[[#This Row],[Date]],"mmm")</f>
        <v>Jan</v>
      </c>
      <c r="D1550">
        <v>2024</v>
      </c>
      <c r="E1550" t="s">
        <v>1563</v>
      </c>
      <c r="F1550" t="s">
        <v>18</v>
      </c>
      <c r="G1550">
        <v>53</v>
      </c>
      <c r="H1550" t="s">
        <v>12</v>
      </c>
      <c r="I1550">
        <v>1</v>
      </c>
      <c r="J1550">
        <v>354</v>
      </c>
      <c r="K1550">
        <v>354</v>
      </c>
      <c r="L15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51" spans="1:12" x14ac:dyDescent="0.3">
      <c r="A1551">
        <v>1550</v>
      </c>
      <c r="B1551" s="1">
        <v>45578</v>
      </c>
      <c r="C1551" s="1" t="str">
        <f>TEXT(RetailStore[[#This Row],[Date]],"mmm")</f>
        <v>Oct</v>
      </c>
      <c r="D1551">
        <v>2024</v>
      </c>
      <c r="E1551" t="s">
        <v>1564</v>
      </c>
      <c r="F1551" t="s">
        <v>11</v>
      </c>
      <c r="G1551">
        <v>30</v>
      </c>
      <c r="H1551" t="s">
        <v>12</v>
      </c>
      <c r="I1551">
        <v>1</v>
      </c>
      <c r="J1551">
        <v>316</v>
      </c>
      <c r="K1551">
        <v>316</v>
      </c>
      <c r="L15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52" spans="1:12" x14ac:dyDescent="0.3">
      <c r="A1552">
        <v>1551</v>
      </c>
      <c r="B1552" s="1">
        <v>45559</v>
      </c>
      <c r="C1552" s="1" t="str">
        <f>TEXT(RetailStore[[#This Row],[Date]],"mmm")</f>
        <v>Sep</v>
      </c>
      <c r="D1552">
        <v>2024</v>
      </c>
      <c r="E1552" t="s">
        <v>1565</v>
      </c>
      <c r="F1552" t="s">
        <v>11</v>
      </c>
      <c r="G1552">
        <v>48</v>
      </c>
      <c r="H1552" t="s">
        <v>12</v>
      </c>
      <c r="I1552">
        <v>1</v>
      </c>
      <c r="J1552">
        <v>86</v>
      </c>
      <c r="K1552">
        <v>86</v>
      </c>
      <c r="L15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53" spans="1:12" x14ac:dyDescent="0.3">
      <c r="A1553">
        <v>1552</v>
      </c>
      <c r="B1553" s="1">
        <v>45629</v>
      </c>
      <c r="C1553" s="1" t="str">
        <f>TEXT(RetailStore[[#This Row],[Date]],"mmm")</f>
        <v>Dec</v>
      </c>
      <c r="D1553">
        <v>2024</v>
      </c>
      <c r="E1553" t="s">
        <v>1566</v>
      </c>
      <c r="F1553" t="s">
        <v>11</v>
      </c>
      <c r="G1553">
        <v>19</v>
      </c>
      <c r="H1553" t="s">
        <v>20</v>
      </c>
      <c r="I1553">
        <v>2</v>
      </c>
      <c r="J1553">
        <v>150</v>
      </c>
      <c r="K1553">
        <v>300</v>
      </c>
      <c r="L15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54" spans="1:12" x14ac:dyDescent="0.3">
      <c r="A1554">
        <v>1553</v>
      </c>
      <c r="B1554" s="1">
        <v>45653</v>
      </c>
      <c r="C1554" s="1" t="str">
        <f>TEXT(RetailStore[[#This Row],[Date]],"mmm")</f>
        <v>Dec</v>
      </c>
      <c r="D1554">
        <v>2024</v>
      </c>
      <c r="E1554" t="s">
        <v>1567</v>
      </c>
      <c r="F1554" t="s">
        <v>18</v>
      </c>
      <c r="G1554">
        <v>23</v>
      </c>
      <c r="H1554" t="s">
        <v>12</v>
      </c>
      <c r="I1554">
        <v>3</v>
      </c>
      <c r="J1554">
        <v>230</v>
      </c>
      <c r="K1554">
        <v>690</v>
      </c>
      <c r="L15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55" spans="1:12" x14ac:dyDescent="0.3">
      <c r="A1555">
        <v>1554</v>
      </c>
      <c r="B1555" s="1">
        <v>45593</v>
      </c>
      <c r="C1555" s="1" t="str">
        <f>TEXT(RetailStore[[#This Row],[Date]],"mmm")</f>
        <v>Oct</v>
      </c>
      <c r="D1555">
        <v>2024</v>
      </c>
      <c r="E1555" t="s">
        <v>1568</v>
      </c>
      <c r="F1555" t="s">
        <v>11</v>
      </c>
      <c r="G1555">
        <v>49</v>
      </c>
      <c r="H1555" t="s">
        <v>15</v>
      </c>
      <c r="I1555">
        <v>3</v>
      </c>
      <c r="J1555">
        <v>248</v>
      </c>
      <c r="K1555">
        <v>744</v>
      </c>
      <c r="L15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56" spans="1:12" x14ac:dyDescent="0.3">
      <c r="A1556">
        <v>1555</v>
      </c>
      <c r="B1556" s="1">
        <v>45384</v>
      </c>
      <c r="C1556" s="1" t="str">
        <f>TEXT(RetailStore[[#This Row],[Date]],"mmm")</f>
        <v>Apr</v>
      </c>
      <c r="D1556">
        <v>2024</v>
      </c>
      <c r="E1556" t="s">
        <v>1569</v>
      </c>
      <c r="F1556" t="s">
        <v>18</v>
      </c>
      <c r="G1556">
        <v>19</v>
      </c>
      <c r="H1556" t="s">
        <v>12</v>
      </c>
      <c r="I1556">
        <v>3</v>
      </c>
      <c r="J1556">
        <v>220</v>
      </c>
      <c r="K1556">
        <v>660</v>
      </c>
      <c r="L15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57" spans="1:12" x14ac:dyDescent="0.3">
      <c r="A1557">
        <v>1556</v>
      </c>
      <c r="B1557" s="1">
        <v>45423</v>
      </c>
      <c r="C1557" s="1" t="str">
        <f>TEXT(RetailStore[[#This Row],[Date]],"mmm")</f>
        <v>May</v>
      </c>
      <c r="D1557">
        <v>2024</v>
      </c>
      <c r="E1557" t="s">
        <v>1570</v>
      </c>
      <c r="F1557" t="s">
        <v>11</v>
      </c>
      <c r="G1557">
        <v>25</v>
      </c>
      <c r="H1557" t="s">
        <v>15</v>
      </c>
      <c r="I1557">
        <v>2</v>
      </c>
      <c r="J1557">
        <v>171</v>
      </c>
      <c r="K1557">
        <v>342</v>
      </c>
      <c r="L15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58" spans="1:12" x14ac:dyDescent="0.3">
      <c r="A1558">
        <v>1557</v>
      </c>
      <c r="B1558" s="1">
        <v>45365</v>
      </c>
      <c r="C1558" s="1" t="str">
        <f>TEXT(RetailStore[[#This Row],[Date]],"mmm")</f>
        <v>Mar</v>
      </c>
      <c r="D1558">
        <v>2024</v>
      </c>
      <c r="E1558" t="s">
        <v>1571</v>
      </c>
      <c r="F1558" t="s">
        <v>11</v>
      </c>
      <c r="G1558">
        <v>34</v>
      </c>
      <c r="H1558" t="s">
        <v>15</v>
      </c>
      <c r="I1558">
        <v>2</v>
      </c>
      <c r="J1558">
        <v>182</v>
      </c>
      <c r="K1558">
        <v>364</v>
      </c>
      <c r="L15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59" spans="1:12" x14ac:dyDescent="0.3">
      <c r="A1559">
        <v>1558</v>
      </c>
      <c r="B1559" s="1">
        <v>45500</v>
      </c>
      <c r="C1559" s="1" t="str">
        <f>TEXT(RetailStore[[#This Row],[Date]],"mmm")</f>
        <v>Jul</v>
      </c>
      <c r="D1559">
        <v>2024</v>
      </c>
      <c r="E1559" t="s">
        <v>1572</v>
      </c>
      <c r="F1559" t="s">
        <v>11</v>
      </c>
      <c r="G1559">
        <v>21</v>
      </c>
      <c r="H1559" t="s">
        <v>12</v>
      </c>
      <c r="I1559">
        <v>3</v>
      </c>
      <c r="J1559">
        <v>117</v>
      </c>
      <c r="K1559">
        <v>351</v>
      </c>
      <c r="L15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60" spans="1:12" x14ac:dyDescent="0.3">
      <c r="A1560">
        <v>1559</v>
      </c>
      <c r="B1560" s="1">
        <v>45305</v>
      </c>
      <c r="C1560" s="1" t="str">
        <f>TEXT(RetailStore[[#This Row],[Date]],"mmm")</f>
        <v>Jan</v>
      </c>
      <c r="D1560">
        <v>2024</v>
      </c>
      <c r="E1560" t="s">
        <v>1573</v>
      </c>
      <c r="F1560" t="s">
        <v>11</v>
      </c>
      <c r="G1560">
        <v>37</v>
      </c>
      <c r="H1560" t="s">
        <v>20</v>
      </c>
      <c r="I1560">
        <v>1</v>
      </c>
      <c r="J1560">
        <v>188</v>
      </c>
      <c r="K1560">
        <v>188</v>
      </c>
      <c r="L15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61" spans="1:12" x14ac:dyDescent="0.3">
      <c r="A1561">
        <v>1560</v>
      </c>
      <c r="B1561" s="1">
        <v>45364</v>
      </c>
      <c r="C1561" s="1" t="str">
        <f>TEXT(RetailStore[[#This Row],[Date]],"mmm")</f>
        <v>Mar</v>
      </c>
      <c r="D1561">
        <v>2024</v>
      </c>
      <c r="E1561" t="s">
        <v>1574</v>
      </c>
      <c r="F1561" t="s">
        <v>18</v>
      </c>
      <c r="G1561">
        <v>38</v>
      </c>
      <c r="H1561" t="s">
        <v>20</v>
      </c>
      <c r="I1561">
        <v>4</v>
      </c>
      <c r="J1561">
        <v>448</v>
      </c>
      <c r="K1561">
        <v>1792</v>
      </c>
      <c r="L15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62" spans="1:12" x14ac:dyDescent="0.3">
      <c r="A1562">
        <v>1561</v>
      </c>
      <c r="B1562" s="1">
        <v>45353</v>
      </c>
      <c r="C1562" s="1" t="str">
        <f>TEXT(RetailStore[[#This Row],[Date]],"mmm")</f>
        <v>Mar</v>
      </c>
      <c r="D1562">
        <v>2024</v>
      </c>
      <c r="E1562" t="s">
        <v>1575</v>
      </c>
      <c r="F1562" t="s">
        <v>11</v>
      </c>
      <c r="G1562">
        <v>30</v>
      </c>
      <c r="H1562" t="s">
        <v>15</v>
      </c>
      <c r="I1562">
        <v>2</v>
      </c>
      <c r="J1562">
        <v>277</v>
      </c>
      <c r="K1562">
        <v>554</v>
      </c>
      <c r="L15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63" spans="1:12" x14ac:dyDescent="0.3">
      <c r="A1563">
        <v>1562</v>
      </c>
      <c r="B1563" s="1">
        <v>45552</v>
      </c>
      <c r="C1563" s="1" t="str">
        <f>TEXT(RetailStore[[#This Row],[Date]],"mmm")</f>
        <v>Sep</v>
      </c>
      <c r="D1563">
        <v>2024</v>
      </c>
      <c r="E1563" t="s">
        <v>1576</v>
      </c>
      <c r="F1563" t="s">
        <v>18</v>
      </c>
      <c r="G1563">
        <v>25</v>
      </c>
      <c r="H1563" t="s">
        <v>20</v>
      </c>
      <c r="I1563">
        <v>1</v>
      </c>
      <c r="J1563">
        <v>187</v>
      </c>
      <c r="K1563">
        <v>187</v>
      </c>
      <c r="L15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64" spans="1:12" x14ac:dyDescent="0.3">
      <c r="A1564">
        <v>1563</v>
      </c>
      <c r="B1564" s="1">
        <v>45529</v>
      </c>
      <c r="C1564" s="1" t="str">
        <f>TEXT(RetailStore[[#This Row],[Date]],"mmm")</f>
        <v>Aug</v>
      </c>
      <c r="D1564">
        <v>2024</v>
      </c>
      <c r="E1564" t="s">
        <v>1577</v>
      </c>
      <c r="F1564" t="s">
        <v>18</v>
      </c>
      <c r="G1564">
        <v>22</v>
      </c>
      <c r="H1564" t="s">
        <v>20</v>
      </c>
      <c r="I1564">
        <v>1</v>
      </c>
      <c r="J1564">
        <v>233</v>
      </c>
      <c r="K1564">
        <v>233</v>
      </c>
      <c r="L15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65" spans="1:12" x14ac:dyDescent="0.3">
      <c r="A1565">
        <v>1564</v>
      </c>
      <c r="B1565" s="1">
        <v>45616</v>
      </c>
      <c r="C1565" s="1" t="str">
        <f>TEXT(RetailStore[[#This Row],[Date]],"mmm")</f>
        <v>Nov</v>
      </c>
      <c r="D1565">
        <v>2024</v>
      </c>
      <c r="E1565" t="s">
        <v>1578</v>
      </c>
      <c r="F1565" t="s">
        <v>11</v>
      </c>
      <c r="G1565">
        <v>19</v>
      </c>
      <c r="H1565" t="s">
        <v>20</v>
      </c>
      <c r="I1565">
        <v>1</v>
      </c>
      <c r="J1565">
        <v>151</v>
      </c>
      <c r="K1565">
        <v>151</v>
      </c>
      <c r="L15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66" spans="1:12" x14ac:dyDescent="0.3">
      <c r="A1566">
        <v>1565</v>
      </c>
      <c r="B1566" s="1">
        <v>45576</v>
      </c>
      <c r="C1566" s="1" t="str">
        <f>TEXT(RetailStore[[#This Row],[Date]],"mmm")</f>
        <v>Oct</v>
      </c>
      <c r="D1566">
        <v>2024</v>
      </c>
      <c r="E1566" t="s">
        <v>1579</v>
      </c>
      <c r="F1566" t="s">
        <v>11</v>
      </c>
      <c r="G1566">
        <v>37</v>
      </c>
      <c r="H1566" t="s">
        <v>12</v>
      </c>
      <c r="I1566">
        <v>4</v>
      </c>
      <c r="J1566">
        <v>253</v>
      </c>
      <c r="K1566">
        <v>1012</v>
      </c>
      <c r="L15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67" spans="1:12" x14ac:dyDescent="0.3">
      <c r="A1567">
        <v>1566</v>
      </c>
      <c r="B1567" s="1">
        <v>45334</v>
      </c>
      <c r="C1567" s="1" t="str">
        <f>TEXT(RetailStore[[#This Row],[Date]],"mmm")</f>
        <v>Feb</v>
      </c>
      <c r="D1567">
        <v>2024</v>
      </c>
      <c r="E1567" t="s">
        <v>1580</v>
      </c>
      <c r="F1567" t="s">
        <v>11</v>
      </c>
      <c r="G1567">
        <v>27</v>
      </c>
      <c r="H1567" t="s">
        <v>20</v>
      </c>
      <c r="I1567">
        <v>2</v>
      </c>
      <c r="J1567">
        <v>425</v>
      </c>
      <c r="K1567">
        <v>850</v>
      </c>
      <c r="L15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68" spans="1:12" x14ac:dyDescent="0.3">
      <c r="A1568">
        <v>1567</v>
      </c>
      <c r="B1568" s="1">
        <v>45417</v>
      </c>
      <c r="C1568" s="1" t="str">
        <f>TEXT(RetailStore[[#This Row],[Date]],"mmm")</f>
        <v>May</v>
      </c>
      <c r="D1568">
        <v>2024</v>
      </c>
      <c r="E1568" t="s">
        <v>1581</v>
      </c>
      <c r="F1568" t="s">
        <v>18</v>
      </c>
      <c r="G1568">
        <v>53</v>
      </c>
      <c r="H1568" t="s">
        <v>20</v>
      </c>
      <c r="I1568">
        <v>1</v>
      </c>
      <c r="J1568">
        <v>25</v>
      </c>
      <c r="K1568">
        <v>25</v>
      </c>
      <c r="L15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69" spans="1:12" x14ac:dyDescent="0.3">
      <c r="A1569">
        <v>1568</v>
      </c>
      <c r="B1569" s="1">
        <v>45529</v>
      </c>
      <c r="C1569" s="1" t="str">
        <f>TEXT(RetailStore[[#This Row],[Date]],"mmm")</f>
        <v>Aug</v>
      </c>
      <c r="D1569">
        <v>2024</v>
      </c>
      <c r="E1569" t="s">
        <v>1582</v>
      </c>
      <c r="F1569" t="s">
        <v>18</v>
      </c>
      <c r="G1569">
        <v>59</v>
      </c>
      <c r="H1569" t="s">
        <v>15</v>
      </c>
      <c r="I1569">
        <v>1</v>
      </c>
      <c r="J1569">
        <v>55</v>
      </c>
      <c r="K1569">
        <v>55</v>
      </c>
      <c r="L15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70" spans="1:12" x14ac:dyDescent="0.3">
      <c r="A1570">
        <v>1569</v>
      </c>
      <c r="B1570" s="1">
        <v>45538</v>
      </c>
      <c r="C1570" s="1" t="str">
        <f>TEXT(RetailStore[[#This Row],[Date]],"mmm")</f>
        <v>Sep</v>
      </c>
      <c r="D1570">
        <v>2024</v>
      </c>
      <c r="E1570" t="s">
        <v>1583</v>
      </c>
      <c r="F1570" t="s">
        <v>18</v>
      </c>
      <c r="G1570">
        <v>56</v>
      </c>
      <c r="H1570" t="s">
        <v>20</v>
      </c>
      <c r="I1570">
        <v>4</v>
      </c>
      <c r="J1570">
        <v>204</v>
      </c>
      <c r="K1570">
        <v>816</v>
      </c>
      <c r="L15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71" spans="1:12" x14ac:dyDescent="0.3">
      <c r="A1571">
        <v>1570</v>
      </c>
      <c r="B1571" s="1">
        <v>45615</v>
      </c>
      <c r="C1571" s="1" t="str">
        <f>TEXT(RetailStore[[#This Row],[Date]],"mmm")</f>
        <v>Nov</v>
      </c>
      <c r="D1571">
        <v>2024</v>
      </c>
      <c r="E1571" t="s">
        <v>1584</v>
      </c>
      <c r="F1571" t="s">
        <v>11</v>
      </c>
      <c r="G1571">
        <v>55</v>
      </c>
      <c r="H1571" t="s">
        <v>12</v>
      </c>
      <c r="I1571">
        <v>3</v>
      </c>
      <c r="J1571">
        <v>48</v>
      </c>
      <c r="K1571">
        <v>144</v>
      </c>
      <c r="L15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72" spans="1:12" x14ac:dyDescent="0.3">
      <c r="A1572">
        <v>1571</v>
      </c>
      <c r="B1572" s="1">
        <v>45374</v>
      </c>
      <c r="C1572" s="1" t="str">
        <f>TEXT(RetailStore[[#This Row],[Date]],"mmm")</f>
        <v>Mar</v>
      </c>
      <c r="D1572">
        <v>2024</v>
      </c>
      <c r="E1572" t="s">
        <v>1585</v>
      </c>
      <c r="F1572" t="s">
        <v>11</v>
      </c>
      <c r="G1572">
        <v>37</v>
      </c>
      <c r="H1572" t="s">
        <v>15</v>
      </c>
      <c r="I1572">
        <v>4</v>
      </c>
      <c r="J1572">
        <v>382</v>
      </c>
      <c r="K1572">
        <v>1528</v>
      </c>
      <c r="L15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73" spans="1:12" x14ac:dyDescent="0.3">
      <c r="A1573">
        <v>1572</v>
      </c>
      <c r="B1573" s="1">
        <v>45354</v>
      </c>
      <c r="C1573" s="1" t="str">
        <f>TEXT(RetailStore[[#This Row],[Date]],"mmm")</f>
        <v>Mar</v>
      </c>
      <c r="D1573">
        <v>2024</v>
      </c>
      <c r="E1573" t="s">
        <v>1586</v>
      </c>
      <c r="F1573" t="s">
        <v>11</v>
      </c>
      <c r="G1573">
        <v>64</v>
      </c>
      <c r="H1573" t="s">
        <v>12</v>
      </c>
      <c r="I1573">
        <v>3</v>
      </c>
      <c r="J1573">
        <v>474</v>
      </c>
      <c r="K1573">
        <v>1422</v>
      </c>
      <c r="L15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74" spans="1:12" x14ac:dyDescent="0.3">
      <c r="A1574">
        <v>1573</v>
      </c>
      <c r="B1574" s="1">
        <v>45513</v>
      </c>
      <c r="C1574" s="1" t="str">
        <f>TEXT(RetailStore[[#This Row],[Date]],"mmm")</f>
        <v>Aug</v>
      </c>
      <c r="D1574">
        <v>2024</v>
      </c>
      <c r="E1574" t="s">
        <v>1587</v>
      </c>
      <c r="F1574" t="s">
        <v>11</v>
      </c>
      <c r="G1574">
        <v>57</v>
      </c>
      <c r="H1574" t="s">
        <v>12</v>
      </c>
      <c r="I1574">
        <v>3</v>
      </c>
      <c r="J1574">
        <v>477</v>
      </c>
      <c r="K1574">
        <v>1431</v>
      </c>
      <c r="L15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75" spans="1:12" x14ac:dyDescent="0.3">
      <c r="A1575">
        <v>1574</v>
      </c>
      <c r="B1575" s="1">
        <v>45641</v>
      </c>
      <c r="C1575" s="1" t="str">
        <f>TEXT(RetailStore[[#This Row],[Date]],"mmm")</f>
        <v>Dec</v>
      </c>
      <c r="D1575">
        <v>2024</v>
      </c>
      <c r="E1575" t="s">
        <v>1588</v>
      </c>
      <c r="F1575" t="s">
        <v>18</v>
      </c>
      <c r="G1575">
        <v>58</v>
      </c>
      <c r="H1575" t="s">
        <v>20</v>
      </c>
      <c r="I1575">
        <v>4</v>
      </c>
      <c r="J1575">
        <v>164</v>
      </c>
      <c r="K1575">
        <v>656</v>
      </c>
      <c r="L15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76" spans="1:12" x14ac:dyDescent="0.3">
      <c r="A1576">
        <v>1575</v>
      </c>
      <c r="B1576" s="1">
        <v>45417</v>
      </c>
      <c r="C1576" s="1" t="str">
        <f>TEXT(RetailStore[[#This Row],[Date]],"mmm")</f>
        <v>May</v>
      </c>
      <c r="D1576">
        <v>2024</v>
      </c>
      <c r="E1576" t="s">
        <v>1589</v>
      </c>
      <c r="F1576" t="s">
        <v>18</v>
      </c>
      <c r="G1576">
        <v>39</v>
      </c>
      <c r="H1576" t="s">
        <v>15</v>
      </c>
      <c r="I1576">
        <v>4</v>
      </c>
      <c r="J1576">
        <v>331</v>
      </c>
      <c r="K1576">
        <v>1324</v>
      </c>
      <c r="L15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77" spans="1:12" x14ac:dyDescent="0.3">
      <c r="A1577">
        <v>1576</v>
      </c>
      <c r="B1577" s="1">
        <v>45460</v>
      </c>
      <c r="C1577" s="1" t="str">
        <f>TEXT(RetailStore[[#This Row],[Date]],"mmm")</f>
        <v>Jun</v>
      </c>
      <c r="D1577">
        <v>2024</v>
      </c>
      <c r="E1577" t="s">
        <v>1590</v>
      </c>
      <c r="F1577" t="s">
        <v>11</v>
      </c>
      <c r="G1577">
        <v>62</v>
      </c>
      <c r="H1577" t="s">
        <v>15</v>
      </c>
      <c r="I1577">
        <v>1</v>
      </c>
      <c r="J1577">
        <v>336</v>
      </c>
      <c r="K1577">
        <v>336</v>
      </c>
      <c r="L15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78" spans="1:12" x14ac:dyDescent="0.3">
      <c r="A1578">
        <v>1577</v>
      </c>
      <c r="B1578" s="1">
        <v>45535</v>
      </c>
      <c r="C1578" s="1" t="str">
        <f>TEXT(RetailStore[[#This Row],[Date]],"mmm")</f>
        <v>Aug</v>
      </c>
      <c r="D1578">
        <v>2024</v>
      </c>
      <c r="E1578" t="s">
        <v>1591</v>
      </c>
      <c r="F1578" t="s">
        <v>11</v>
      </c>
      <c r="G1578">
        <v>18</v>
      </c>
      <c r="H1578" t="s">
        <v>12</v>
      </c>
      <c r="I1578">
        <v>2</v>
      </c>
      <c r="J1578">
        <v>236</v>
      </c>
      <c r="K1578">
        <v>472</v>
      </c>
      <c r="L15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79" spans="1:12" x14ac:dyDescent="0.3">
      <c r="A1579">
        <v>1578</v>
      </c>
      <c r="B1579" s="1">
        <v>45576</v>
      </c>
      <c r="C1579" s="1" t="str">
        <f>TEXT(RetailStore[[#This Row],[Date]],"mmm")</f>
        <v>Oct</v>
      </c>
      <c r="D1579">
        <v>2024</v>
      </c>
      <c r="E1579" t="s">
        <v>1592</v>
      </c>
      <c r="F1579" t="s">
        <v>18</v>
      </c>
      <c r="G1579">
        <v>43</v>
      </c>
      <c r="H1579" t="s">
        <v>12</v>
      </c>
      <c r="I1579">
        <v>1</v>
      </c>
      <c r="J1579">
        <v>428</v>
      </c>
      <c r="K1579">
        <v>428</v>
      </c>
      <c r="L15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80" spans="1:12" x14ac:dyDescent="0.3">
      <c r="A1580">
        <v>1579</v>
      </c>
      <c r="B1580" s="1">
        <v>45624</v>
      </c>
      <c r="C1580" s="1" t="str">
        <f>TEXT(RetailStore[[#This Row],[Date]],"mmm")</f>
        <v>Nov</v>
      </c>
      <c r="D1580">
        <v>2024</v>
      </c>
      <c r="E1580" t="s">
        <v>1593</v>
      </c>
      <c r="F1580" t="s">
        <v>11</v>
      </c>
      <c r="G1580">
        <v>52</v>
      </c>
      <c r="H1580" t="s">
        <v>15</v>
      </c>
      <c r="I1580">
        <v>4</v>
      </c>
      <c r="J1580">
        <v>369</v>
      </c>
      <c r="K1580">
        <v>1476</v>
      </c>
      <c r="L15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81" spans="1:12" x14ac:dyDescent="0.3">
      <c r="A1581">
        <v>1580</v>
      </c>
      <c r="B1581" s="1">
        <v>45355</v>
      </c>
      <c r="C1581" s="1" t="str">
        <f>TEXT(RetailStore[[#This Row],[Date]],"mmm")</f>
        <v>Mar</v>
      </c>
      <c r="D1581">
        <v>2024</v>
      </c>
      <c r="E1581" t="s">
        <v>1594</v>
      </c>
      <c r="F1581" t="s">
        <v>18</v>
      </c>
      <c r="G1581">
        <v>42</v>
      </c>
      <c r="H1581" t="s">
        <v>12</v>
      </c>
      <c r="I1581">
        <v>3</v>
      </c>
      <c r="J1581">
        <v>223</v>
      </c>
      <c r="K1581">
        <v>669</v>
      </c>
      <c r="L15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82" spans="1:12" x14ac:dyDescent="0.3">
      <c r="A1582">
        <v>1581</v>
      </c>
      <c r="B1582" s="1">
        <v>45382</v>
      </c>
      <c r="C1582" s="1" t="str">
        <f>TEXT(RetailStore[[#This Row],[Date]],"mmm")</f>
        <v>Mar</v>
      </c>
      <c r="D1582">
        <v>2024</v>
      </c>
      <c r="E1582" t="s">
        <v>1595</v>
      </c>
      <c r="F1582" t="s">
        <v>11</v>
      </c>
      <c r="G1582">
        <v>25</v>
      </c>
      <c r="H1582" t="s">
        <v>20</v>
      </c>
      <c r="I1582">
        <v>3</v>
      </c>
      <c r="J1582">
        <v>123</v>
      </c>
      <c r="K1582">
        <v>369</v>
      </c>
      <c r="L15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83" spans="1:12" x14ac:dyDescent="0.3">
      <c r="A1583">
        <v>1582</v>
      </c>
      <c r="B1583" s="1">
        <v>45519</v>
      </c>
      <c r="C1583" s="1" t="str">
        <f>TEXT(RetailStore[[#This Row],[Date]],"mmm")</f>
        <v>Aug</v>
      </c>
      <c r="D1583">
        <v>2024</v>
      </c>
      <c r="E1583" t="s">
        <v>1596</v>
      </c>
      <c r="F1583" t="s">
        <v>11</v>
      </c>
      <c r="G1583">
        <v>32</v>
      </c>
      <c r="H1583" t="s">
        <v>12</v>
      </c>
      <c r="I1583">
        <v>1</v>
      </c>
      <c r="J1583">
        <v>413</v>
      </c>
      <c r="K1583">
        <v>413</v>
      </c>
      <c r="L15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84" spans="1:12" x14ac:dyDescent="0.3">
      <c r="A1584">
        <v>1583</v>
      </c>
      <c r="B1584" s="1">
        <v>45435</v>
      </c>
      <c r="C1584" s="1" t="str">
        <f>TEXT(RetailStore[[#This Row],[Date]],"mmm")</f>
        <v>May</v>
      </c>
      <c r="D1584">
        <v>2024</v>
      </c>
      <c r="E1584" t="s">
        <v>1597</v>
      </c>
      <c r="F1584" t="s">
        <v>18</v>
      </c>
      <c r="G1584">
        <v>30</v>
      </c>
      <c r="H1584" t="s">
        <v>15</v>
      </c>
      <c r="I1584">
        <v>3</v>
      </c>
      <c r="J1584">
        <v>438</v>
      </c>
      <c r="K1584">
        <v>1314</v>
      </c>
      <c r="L15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85" spans="1:12" x14ac:dyDescent="0.3">
      <c r="A1585">
        <v>1584</v>
      </c>
      <c r="B1585" s="1">
        <v>45405</v>
      </c>
      <c r="C1585" s="1" t="str">
        <f>TEXT(RetailStore[[#This Row],[Date]],"mmm")</f>
        <v>Apr</v>
      </c>
      <c r="D1585">
        <v>2024</v>
      </c>
      <c r="E1585" t="s">
        <v>1598</v>
      </c>
      <c r="F1585" t="s">
        <v>11</v>
      </c>
      <c r="G1585">
        <v>49</v>
      </c>
      <c r="H1585" t="s">
        <v>20</v>
      </c>
      <c r="I1585">
        <v>1</v>
      </c>
      <c r="J1585">
        <v>168</v>
      </c>
      <c r="K1585">
        <v>168</v>
      </c>
      <c r="L15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86" spans="1:12" x14ac:dyDescent="0.3">
      <c r="A1586">
        <v>1585</v>
      </c>
      <c r="B1586" s="1">
        <v>45544</v>
      </c>
      <c r="C1586" s="1" t="str">
        <f>TEXT(RetailStore[[#This Row],[Date]],"mmm")</f>
        <v>Sep</v>
      </c>
      <c r="D1586">
        <v>2024</v>
      </c>
      <c r="E1586" t="s">
        <v>1599</v>
      </c>
      <c r="F1586" t="s">
        <v>11</v>
      </c>
      <c r="G1586">
        <v>18</v>
      </c>
      <c r="H1586" t="s">
        <v>15</v>
      </c>
      <c r="I1586">
        <v>4</v>
      </c>
      <c r="J1586">
        <v>81</v>
      </c>
      <c r="K1586">
        <v>324</v>
      </c>
      <c r="L15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87" spans="1:12" x14ac:dyDescent="0.3">
      <c r="A1587">
        <v>1586</v>
      </c>
      <c r="B1587" s="1">
        <v>45434</v>
      </c>
      <c r="C1587" s="1" t="str">
        <f>TEXT(RetailStore[[#This Row],[Date]],"mmm")</f>
        <v>May</v>
      </c>
      <c r="D1587">
        <v>2024</v>
      </c>
      <c r="E1587" t="s">
        <v>1600</v>
      </c>
      <c r="F1587" t="s">
        <v>18</v>
      </c>
      <c r="G1587">
        <v>28</v>
      </c>
      <c r="H1587" t="s">
        <v>12</v>
      </c>
      <c r="I1587">
        <v>2</v>
      </c>
      <c r="J1587">
        <v>362</v>
      </c>
      <c r="K1587">
        <v>724</v>
      </c>
      <c r="L15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88" spans="1:12" x14ac:dyDescent="0.3">
      <c r="A1588">
        <v>1587</v>
      </c>
      <c r="B1588" s="1">
        <v>45581</v>
      </c>
      <c r="C1588" s="1" t="str">
        <f>TEXT(RetailStore[[#This Row],[Date]],"mmm")</f>
        <v>Oct</v>
      </c>
      <c r="D1588">
        <v>2024</v>
      </c>
      <c r="E1588" t="s">
        <v>1601</v>
      </c>
      <c r="F1588" t="s">
        <v>11</v>
      </c>
      <c r="G1588">
        <v>22</v>
      </c>
      <c r="H1588" t="s">
        <v>12</v>
      </c>
      <c r="I1588">
        <v>2</v>
      </c>
      <c r="J1588">
        <v>406</v>
      </c>
      <c r="K1588">
        <v>812</v>
      </c>
      <c r="L15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89" spans="1:12" x14ac:dyDescent="0.3">
      <c r="A1589">
        <v>1588</v>
      </c>
      <c r="B1589" s="1">
        <v>45325</v>
      </c>
      <c r="C1589" s="1" t="str">
        <f>TEXT(RetailStore[[#This Row],[Date]],"mmm")</f>
        <v>Feb</v>
      </c>
      <c r="D1589">
        <v>2024</v>
      </c>
      <c r="E1589" t="s">
        <v>1602</v>
      </c>
      <c r="F1589" t="s">
        <v>11</v>
      </c>
      <c r="G1589">
        <v>34</v>
      </c>
      <c r="H1589" t="s">
        <v>12</v>
      </c>
      <c r="I1589">
        <v>2</v>
      </c>
      <c r="J1589">
        <v>476</v>
      </c>
      <c r="K1589">
        <v>952</v>
      </c>
      <c r="L15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90" spans="1:12" x14ac:dyDescent="0.3">
      <c r="A1590">
        <v>1589</v>
      </c>
      <c r="B1590" s="1">
        <v>45559</v>
      </c>
      <c r="C1590" s="1" t="str">
        <f>TEXT(RetailStore[[#This Row],[Date]],"mmm")</f>
        <v>Sep</v>
      </c>
      <c r="D1590">
        <v>2024</v>
      </c>
      <c r="E1590" t="s">
        <v>1603</v>
      </c>
      <c r="F1590" t="s">
        <v>18</v>
      </c>
      <c r="G1590">
        <v>30</v>
      </c>
      <c r="H1590" t="s">
        <v>12</v>
      </c>
      <c r="I1590">
        <v>1</v>
      </c>
      <c r="J1590">
        <v>379</v>
      </c>
      <c r="K1590">
        <v>379</v>
      </c>
      <c r="L15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91" spans="1:12" x14ac:dyDescent="0.3">
      <c r="A1591">
        <v>1590</v>
      </c>
      <c r="B1591" s="1">
        <v>45639</v>
      </c>
      <c r="C1591" s="1" t="str">
        <f>TEXT(RetailStore[[#This Row],[Date]],"mmm")</f>
        <v>Dec</v>
      </c>
      <c r="D1591">
        <v>2024</v>
      </c>
      <c r="E1591" t="s">
        <v>1604</v>
      </c>
      <c r="F1591" t="s">
        <v>18</v>
      </c>
      <c r="G1591">
        <v>61</v>
      </c>
      <c r="H1591" t="s">
        <v>12</v>
      </c>
      <c r="I1591">
        <v>4</v>
      </c>
      <c r="J1591">
        <v>26</v>
      </c>
      <c r="K1591">
        <v>104</v>
      </c>
      <c r="L15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92" spans="1:12" x14ac:dyDescent="0.3">
      <c r="A1592">
        <v>1591</v>
      </c>
      <c r="B1592" s="1">
        <v>45510</v>
      </c>
      <c r="C1592" s="1" t="str">
        <f>TEXT(RetailStore[[#This Row],[Date]],"mmm")</f>
        <v>Aug</v>
      </c>
      <c r="D1592">
        <v>2024</v>
      </c>
      <c r="E1592" t="s">
        <v>1605</v>
      </c>
      <c r="F1592" t="s">
        <v>11</v>
      </c>
      <c r="G1592">
        <v>38</v>
      </c>
      <c r="H1592" t="s">
        <v>20</v>
      </c>
      <c r="I1592">
        <v>4</v>
      </c>
      <c r="J1592">
        <v>165</v>
      </c>
      <c r="K1592">
        <v>660</v>
      </c>
      <c r="L15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93" spans="1:12" x14ac:dyDescent="0.3">
      <c r="A1593">
        <v>1592</v>
      </c>
      <c r="B1593" s="1">
        <v>45354</v>
      </c>
      <c r="C1593" s="1" t="str">
        <f>TEXT(RetailStore[[#This Row],[Date]],"mmm")</f>
        <v>Mar</v>
      </c>
      <c r="D1593">
        <v>2024</v>
      </c>
      <c r="E1593" t="s">
        <v>1606</v>
      </c>
      <c r="F1593" t="s">
        <v>18</v>
      </c>
      <c r="G1593">
        <v>49</v>
      </c>
      <c r="H1593" t="s">
        <v>20</v>
      </c>
      <c r="I1593">
        <v>1</v>
      </c>
      <c r="J1593">
        <v>477</v>
      </c>
      <c r="K1593">
        <v>477</v>
      </c>
      <c r="L15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94" spans="1:12" x14ac:dyDescent="0.3">
      <c r="A1594">
        <v>1593</v>
      </c>
      <c r="B1594" s="1">
        <v>45406</v>
      </c>
      <c r="C1594" s="1" t="str">
        <f>TEXT(RetailStore[[#This Row],[Date]],"mmm")</f>
        <v>Apr</v>
      </c>
      <c r="D1594">
        <v>2024</v>
      </c>
      <c r="E1594" t="s">
        <v>1607</v>
      </c>
      <c r="F1594" t="s">
        <v>11</v>
      </c>
      <c r="G1594">
        <v>35</v>
      </c>
      <c r="H1594" t="s">
        <v>20</v>
      </c>
      <c r="I1594">
        <v>4</v>
      </c>
      <c r="J1594">
        <v>186</v>
      </c>
      <c r="K1594">
        <v>744</v>
      </c>
      <c r="L15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95" spans="1:12" x14ac:dyDescent="0.3">
      <c r="A1595">
        <v>1594</v>
      </c>
      <c r="B1595" s="1">
        <v>45294</v>
      </c>
      <c r="C1595" s="1" t="str">
        <f>TEXT(RetailStore[[#This Row],[Date]],"mmm")</f>
        <v>Jan</v>
      </c>
      <c r="D1595">
        <v>2024</v>
      </c>
      <c r="E1595" t="s">
        <v>1608</v>
      </c>
      <c r="F1595" t="s">
        <v>18</v>
      </c>
      <c r="G1595">
        <v>30</v>
      </c>
      <c r="H1595" t="s">
        <v>20</v>
      </c>
      <c r="I1595">
        <v>1</v>
      </c>
      <c r="J1595">
        <v>475</v>
      </c>
      <c r="K1595">
        <v>475</v>
      </c>
      <c r="L15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96" spans="1:12" x14ac:dyDescent="0.3">
      <c r="A1596">
        <v>1595</v>
      </c>
      <c r="B1596" s="1">
        <v>45584</v>
      </c>
      <c r="C1596" s="1" t="str">
        <f>TEXT(RetailStore[[#This Row],[Date]],"mmm")</f>
        <v>Oct</v>
      </c>
      <c r="D1596">
        <v>2024</v>
      </c>
      <c r="E1596" t="s">
        <v>1609</v>
      </c>
      <c r="F1596" t="s">
        <v>11</v>
      </c>
      <c r="G1596">
        <v>32</v>
      </c>
      <c r="H1596" t="s">
        <v>12</v>
      </c>
      <c r="I1596">
        <v>4</v>
      </c>
      <c r="J1596">
        <v>63</v>
      </c>
      <c r="K1596">
        <v>252</v>
      </c>
      <c r="L15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597" spans="1:12" x14ac:dyDescent="0.3">
      <c r="A1597">
        <v>1596</v>
      </c>
      <c r="B1597" s="1">
        <v>45419</v>
      </c>
      <c r="C1597" s="1" t="str">
        <f>TEXT(RetailStore[[#This Row],[Date]],"mmm")</f>
        <v>May</v>
      </c>
      <c r="D1597">
        <v>2024</v>
      </c>
      <c r="E1597" t="s">
        <v>1610</v>
      </c>
      <c r="F1597" t="s">
        <v>11</v>
      </c>
      <c r="G1597">
        <v>28</v>
      </c>
      <c r="H1597" t="s">
        <v>20</v>
      </c>
      <c r="I1597">
        <v>3</v>
      </c>
      <c r="J1597">
        <v>57</v>
      </c>
      <c r="K1597">
        <v>171</v>
      </c>
      <c r="L15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598" spans="1:12" x14ac:dyDescent="0.3">
      <c r="A1598">
        <v>1597</v>
      </c>
      <c r="B1598" s="1">
        <v>45612</v>
      </c>
      <c r="C1598" s="1" t="str">
        <f>TEXT(RetailStore[[#This Row],[Date]],"mmm")</f>
        <v>Nov</v>
      </c>
      <c r="D1598">
        <v>2024</v>
      </c>
      <c r="E1598" t="s">
        <v>1611</v>
      </c>
      <c r="F1598" t="s">
        <v>11</v>
      </c>
      <c r="G1598">
        <v>19</v>
      </c>
      <c r="H1598" t="s">
        <v>20</v>
      </c>
      <c r="I1598">
        <v>4</v>
      </c>
      <c r="J1598">
        <v>438</v>
      </c>
      <c r="K1598">
        <v>1752</v>
      </c>
      <c r="L15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599" spans="1:12" x14ac:dyDescent="0.3">
      <c r="A1599">
        <v>1598</v>
      </c>
      <c r="B1599" s="1">
        <v>45304</v>
      </c>
      <c r="C1599" s="1" t="str">
        <f>TEXT(RetailStore[[#This Row],[Date]],"mmm")</f>
        <v>Jan</v>
      </c>
      <c r="D1599">
        <v>2024</v>
      </c>
      <c r="E1599" t="s">
        <v>1612</v>
      </c>
      <c r="F1599" t="s">
        <v>18</v>
      </c>
      <c r="G1599">
        <v>34</v>
      </c>
      <c r="H1599" t="s">
        <v>15</v>
      </c>
      <c r="I1599">
        <v>1</v>
      </c>
      <c r="J1599">
        <v>267</v>
      </c>
      <c r="K1599">
        <v>267</v>
      </c>
      <c r="L15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00" spans="1:12" x14ac:dyDescent="0.3">
      <c r="A1600">
        <v>1599</v>
      </c>
      <c r="B1600" s="1">
        <v>45414</v>
      </c>
      <c r="C1600" s="1" t="str">
        <f>TEXT(RetailStore[[#This Row],[Date]],"mmm")</f>
        <v>May</v>
      </c>
      <c r="D1600">
        <v>2024</v>
      </c>
      <c r="E1600" t="s">
        <v>1613</v>
      </c>
      <c r="F1600" t="s">
        <v>18</v>
      </c>
      <c r="G1600">
        <v>21</v>
      </c>
      <c r="H1600" t="s">
        <v>20</v>
      </c>
      <c r="I1600">
        <v>2</v>
      </c>
      <c r="J1600">
        <v>62</v>
      </c>
      <c r="K1600">
        <v>124</v>
      </c>
      <c r="L16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01" spans="1:12" x14ac:dyDescent="0.3">
      <c r="A1601">
        <v>1600</v>
      </c>
      <c r="B1601" s="1">
        <v>45599</v>
      </c>
      <c r="C1601" s="1" t="str">
        <f>TEXT(RetailStore[[#This Row],[Date]],"mmm")</f>
        <v>Nov</v>
      </c>
      <c r="D1601">
        <v>2024</v>
      </c>
      <c r="E1601" t="s">
        <v>1614</v>
      </c>
      <c r="F1601" t="s">
        <v>18</v>
      </c>
      <c r="G1601">
        <v>24</v>
      </c>
      <c r="H1601" t="s">
        <v>12</v>
      </c>
      <c r="I1601">
        <v>4</v>
      </c>
      <c r="J1601">
        <v>321</v>
      </c>
      <c r="K1601">
        <v>1284</v>
      </c>
      <c r="L16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02" spans="1:12" x14ac:dyDescent="0.3">
      <c r="A1602">
        <v>1601</v>
      </c>
      <c r="B1602" s="1">
        <v>45355</v>
      </c>
      <c r="C1602" s="1" t="str">
        <f>TEXT(RetailStore[[#This Row],[Date]],"mmm")</f>
        <v>Mar</v>
      </c>
      <c r="D1602">
        <v>2024</v>
      </c>
      <c r="E1602" t="s">
        <v>1615</v>
      </c>
      <c r="F1602" t="s">
        <v>11</v>
      </c>
      <c r="G1602">
        <v>21</v>
      </c>
      <c r="H1602" t="s">
        <v>15</v>
      </c>
      <c r="I1602">
        <v>4</v>
      </c>
      <c r="J1602">
        <v>185</v>
      </c>
      <c r="K1602">
        <v>740</v>
      </c>
      <c r="L16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03" spans="1:12" x14ac:dyDescent="0.3">
      <c r="A1603">
        <v>1602</v>
      </c>
      <c r="B1603" s="1">
        <v>45647</v>
      </c>
      <c r="C1603" s="1" t="str">
        <f>TEXT(RetailStore[[#This Row],[Date]],"mmm")</f>
        <v>Dec</v>
      </c>
      <c r="D1603">
        <v>2024</v>
      </c>
      <c r="E1603" t="s">
        <v>1616</v>
      </c>
      <c r="F1603" t="s">
        <v>11</v>
      </c>
      <c r="G1603">
        <v>26</v>
      </c>
      <c r="H1603" t="s">
        <v>15</v>
      </c>
      <c r="I1603">
        <v>4</v>
      </c>
      <c r="J1603">
        <v>53</v>
      </c>
      <c r="K1603">
        <v>212</v>
      </c>
      <c r="L16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04" spans="1:12" x14ac:dyDescent="0.3">
      <c r="A1604">
        <v>1603</v>
      </c>
      <c r="B1604" s="1">
        <v>45446</v>
      </c>
      <c r="C1604" s="1" t="str">
        <f>TEXT(RetailStore[[#This Row],[Date]],"mmm")</f>
        <v>Jun</v>
      </c>
      <c r="D1604">
        <v>2024</v>
      </c>
      <c r="E1604" t="s">
        <v>1617</v>
      </c>
      <c r="F1604" t="s">
        <v>18</v>
      </c>
      <c r="G1604">
        <v>22</v>
      </c>
      <c r="H1604" t="s">
        <v>15</v>
      </c>
      <c r="I1604">
        <v>1</v>
      </c>
      <c r="J1604">
        <v>311</v>
      </c>
      <c r="K1604">
        <v>311</v>
      </c>
      <c r="L16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05" spans="1:12" x14ac:dyDescent="0.3">
      <c r="A1605">
        <v>1604</v>
      </c>
      <c r="B1605" s="1">
        <v>45318</v>
      </c>
      <c r="C1605" s="1" t="str">
        <f>TEXT(RetailStore[[#This Row],[Date]],"mmm")</f>
        <v>Jan</v>
      </c>
      <c r="D1605">
        <v>2024</v>
      </c>
      <c r="E1605" t="s">
        <v>1618</v>
      </c>
      <c r="F1605" t="s">
        <v>18</v>
      </c>
      <c r="G1605">
        <v>42</v>
      </c>
      <c r="H1605" t="s">
        <v>20</v>
      </c>
      <c r="I1605">
        <v>1</v>
      </c>
      <c r="J1605">
        <v>341</v>
      </c>
      <c r="K1605">
        <v>341</v>
      </c>
      <c r="L16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06" spans="1:12" x14ac:dyDescent="0.3">
      <c r="A1606">
        <v>1605</v>
      </c>
      <c r="B1606" s="1">
        <v>45502</v>
      </c>
      <c r="C1606" s="1" t="str">
        <f>TEXT(RetailStore[[#This Row],[Date]],"mmm")</f>
        <v>Jul</v>
      </c>
      <c r="D1606">
        <v>2024</v>
      </c>
      <c r="E1606" t="s">
        <v>1619</v>
      </c>
      <c r="F1606" t="s">
        <v>11</v>
      </c>
      <c r="G1606">
        <v>56</v>
      </c>
      <c r="H1606" t="s">
        <v>12</v>
      </c>
      <c r="I1606">
        <v>1</v>
      </c>
      <c r="J1606">
        <v>257</v>
      </c>
      <c r="K1606">
        <v>257</v>
      </c>
      <c r="L16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07" spans="1:12" x14ac:dyDescent="0.3">
      <c r="A1607">
        <v>1606</v>
      </c>
      <c r="B1607" s="1">
        <v>45488</v>
      </c>
      <c r="C1607" s="1" t="str">
        <f>TEXT(RetailStore[[#This Row],[Date]],"mmm")</f>
        <v>Jul</v>
      </c>
      <c r="D1607">
        <v>2024</v>
      </c>
      <c r="E1607" t="s">
        <v>1620</v>
      </c>
      <c r="F1607" t="s">
        <v>18</v>
      </c>
      <c r="G1607">
        <v>45</v>
      </c>
      <c r="H1607" t="s">
        <v>12</v>
      </c>
      <c r="I1607">
        <v>1</v>
      </c>
      <c r="J1607">
        <v>198</v>
      </c>
      <c r="K1607">
        <v>198</v>
      </c>
      <c r="L16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08" spans="1:12" x14ac:dyDescent="0.3">
      <c r="A1608">
        <v>1607</v>
      </c>
      <c r="B1608" s="1">
        <v>45625</v>
      </c>
      <c r="C1608" s="1" t="str">
        <f>TEXT(RetailStore[[#This Row],[Date]],"mmm")</f>
        <v>Nov</v>
      </c>
      <c r="D1608">
        <v>2024</v>
      </c>
      <c r="E1608" t="s">
        <v>1621</v>
      </c>
      <c r="F1608" t="s">
        <v>11</v>
      </c>
      <c r="G1608">
        <v>47</v>
      </c>
      <c r="H1608" t="s">
        <v>12</v>
      </c>
      <c r="I1608">
        <v>3</v>
      </c>
      <c r="J1608">
        <v>325</v>
      </c>
      <c r="K1608">
        <v>975</v>
      </c>
      <c r="L16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09" spans="1:12" x14ac:dyDescent="0.3">
      <c r="A1609">
        <v>1608</v>
      </c>
      <c r="B1609" s="1">
        <v>45390</v>
      </c>
      <c r="C1609" s="1" t="str">
        <f>TEXT(RetailStore[[#This Row],[Date]],"mmm")</f>
        <v>Apr</v>
      </c>
      <c r="D1609">
        <v>2024</v>
      </c>
      <c r="E1609" t="s">
        <v>1622</v>
      </c>
      <c r="F1609" t="s">
        <v>11</v>
      </c>
      <c r="G1609">
        <v>24</v>
      </c>
      <c r="H1609" t="s">
        <v>15</v>
      </c>
      <c r="I1609">
        <v>1</v>
      </c>
      <c r="J1609">
        <v>328</v>
      </c>
      <c r="K1609">
        <v>328</v>
      </c>
      <c r="L16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10" spans="1:12" x14ac:dyDescent="0.3">
      <c r="A1610">
        <v>1609</v>
      </c>
      <c r="B1610" s="1">
        <v>45391</v>
      </c>
      <c r="C1610" s="1" t="str">
        <f>TEXT(RetailStore[[#This Row],[Date]],"mmm")</f>
        <v>Apr</v>
      </c>
      <c r="D1610">
        <v>2024</v>
      </c>
      <c r="E1610" t="s">
        <v>1623</v>
      </c>
      <c r="F1610" t="s">
        <v>11</v>
      </c>
      <c r="G1610">
        <v>58</v>
      </c>
      <c r="H1610" t="s">
        <v>12</v>
      </c>
      <c r="I1610">
        <v>3</v>
      </c>
      <c r="J1610">
        <v>206</v>
      </c>
      <c r="K1610">
        <v>618</v>
      </c>
      <c r="L16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11" spans="1:12" x14ac:dyDescent="0.3">
      <c r="A1611">
        <v>1610</v>
      </c>
      <c r="B1611" s="1">
        <v>45507</v>
      </c>
      <c r="C1611" s="1" t="str">
        <f>TEXT(RetailStore[[#This Row],[Date]],"mmm")</f>
        <v>Aug</v>
      </c>
      <c r="D1611">
        <v>2024</v>
      </c>
      <c r="E1611" t="s">
        <v>1624</v>
      </c>
      <c r="F1611" t="s">
        <v>18</v>
      </c>
      <c r="G1611">
        <v>64</v>
      </c>
      <c r="H1611" t="s">
        <v>12</v>
      </c>
      <c r="I1611">
        <v>4</v>
      </c>
      <c r="J1611">
        <v>120</v>
      </c>
      <c r="K1611">
        <v>480</v>
      </c>
      <c r="L16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12" spans="1:12" x14ac:dyDescent="0.3">
      <c r="A1612">
        <v>1611</v>
      </c>
      <c r="B1612" s="1">
        <v>45416</v>
      </c>
      <c r="C1612" s="1" t="str">
        <f>TEXT(RetailStore[[#This Row],[Date]],"mmm")</f>
        <v>May</v>
      </c>
      <c r="D1612">
        <v>2024</v>
      </c>
      <c r="E1612" t="s">
        <v>1625</v>
      </c>
      <c r="F1612" t="s">
        <v>11</v>
      </c>
      <c r="G1612">
        <v>20</v>
      </c>
      <c r="H1612" t="s">
        <v>15</v>
      </c>
      <c r="I1612">
        <v>2</v>
      </c>
      <c r="J1612">
        <v>184</v>
      </c>
      <c r="K1612">
        <v>368</v>
      </c>
      <c r="L16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13" spans="1:12" x14ac:dyDescent="0.3">
      <c r="A1613">
        <v>1612</v>
      </c>
      <c r="B1613" s="1">
        <v>45591</v>
      </c>
      <c r="C1613" s="1" t="str">
        <f>TEXT(RetailStore[[#This Row],[Date]],"mmm")</f>
        <v>Oct</v>
      </c>
      <c r="D1613">
        <v>2024</v>
      </c>
      <c r="E1613" t="s">
        <v>1626</v>
      </c>
      <c r="F1613" t="s">
        <v>18</v>
      </c>
      <c r="G1613">
        <v>50</v>
      </c>
      <c r="H1613" t="s">
        <v>12</v>
      </c>
      <c r="I1613">
        <v>3</v>
      </c>
      <c r="J1613">
        <v>184</v>
      </c>
      <c r="K1613">
        <v>552</v>
      </c>
      <c r="L16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14" spans="1:12" x14ac:dyDescent="0.3">
      <c r="A1614">
        <v>1613</v>
      </c>
      <c r="B1614" s="1">
        <v>45590</v>
      </c>
      <c r="C1614" s="1" t="str">
        <f>TEXT(RetailStore[[#This Row],[Date]],"mmm")</f>
        <v>Oct</v>
      </c>
      <c r="D1614">
        <v>2024</v>
      </c>
      <c r="E1614" t="s">
        <v>1627</v>
      </c>
      <c r="F1614" t="s">
        <v>11</v>
      </c>
      <c r="G1614">
        <v>27</v>
      </c>
      <c r="H1614" t="s">
        <v>20</v>
      </c>
      <c r="I1614">
        <v>3</v>
      </c>
      <c r="J1614">
        <v>333</v>
      </c>
      <c r="K1614">
        <v>999</v>
      </c>
      <c r="L16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15" spans="1:12" x14ac:dyDescent="0.3">
      <c r="A1615">
        <v>1614</v>
      </c>
      <c r="B1615" s="1">
        <v>45467</v>
      </c>
      <c r="C1615" s="1" t="str">
        <f>TEXT(RetailStore[[#This Row],[Date]],"mmm")</f>
        <v>Jun</v>
      </c>
      <c r="D1615">
        <v>2024</v>
      </c>
      <c r="E1615" t="s">
        <v>1628</v>
      </c>
      <c r="F1615" t="s">
        <v>18</v>
      </c>
      <c r="G1615">
        <v>41</v>
      </c>
      <c r="H1615" t="s">
        <v>15</v>
      </c>
      <c r="I1615">
        <v>2</v>
      </c>
      <c r="J1615">
        <v>54</v>
      </c>
      <c r="K1615">
        <v>108</v>
      </c>
      <c r="L16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16" spans="1:12" x14ac:dyDescent="0.3">
      <c r="A1616">
        <v>1615</v>
      </c>
      <c r="B1616" s="1">
        <v>45413</v>
      </c>
      <c r="C1616" s="1" t="str">
        <f>TEXT(RetailStore[[#This Row],[Date]],"mmm")</f>
        <v>May</v>
      </c>
      <c r="D1616">
        <v>2024</v>
      </c>
      <c r="E1616" t="s">
        <v>1629</v>
      </c>
      <c r="F1616" t="s">
        <v>11</v>
      </c>
      <c r="G1616">
        <v>45</v>
      </c>
      <c r="H1616" t="s">
        <v>20</v>
      </c>
      <c r="I1616">
        <v>2</v>
      </c>
      <c r="J1616">
        <v>127</v>
      </c>
      <c r="K1616">
        <v>254</v>
      </c>
      <c r="L16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17" spans="1:12" x14ac:dyDescent="0.3">
      <c r="A1617">
        <v>1616</v>
      </c>
      <c r="B1617" s="1">
        <v>45619</v>
      </c>
      <c r="C1617" s="1" t="str">
        <f>TEXT(RetailStore[[#This Row],[Date]],"mmm")</f>
        <v>Nov</v>
      </c>
      <c r="D1617">
        <v>2024</v>
      </c>
      <c r="E1617" t="s">
        <v>1630</v>
      </c>
      <c r="F1617" t="s">
        <v>11</v>
      </c>
      <c r="G1617">
        <v>22</v>
      </c>
      <c r="H1617" t="s">
        <v>20</v>
      </c>
      <c r="I1617">
        <v>2</v>
      </c>
      <c r="J1617">
        <v>366</v>
      </c>
      <c r="K1617">
        <v>732</v>
      </c>
      <c r="L16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18" spans="1:12" x14ac:dyDescent="0.3">
      <c r="A1618">
        <v>1617</v>
      </c>
      <c r="B1618" s="1">
        <v>45535</v>
      </c>
      <c r="C1618" s="1" t="str">
        <f>TEXT(RetailStore[[#This Row],[Date]],"mmm")</f>
        <v>Aug</v>
      </c>
      <c r="D1618">
        <v>2024</v>
      </c>
      <c r="E1618" t="s">
        <v>1631</v>
      </c>
      <c r="F1618" t="s">
        <v>18</v>
      </c>
      <c r="G1618">
        <v>56</v>
      </c>
      <c r="H1618" t="s">
        <v>12</v>
      </c>
      <c r="I1618">
        <v>3</v>
      </c>
      <c r="J1618">
        <v>461</v>
      </c>
      <c r="K1618">
        <v>1383</v>
      </c>
      <c r="L16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19" spans="1:12" x14ac:dyDescent="0.3">
      <c r="A1619">
        <v>1618</v>
      </c>
      <c r="B1619" s="1">
        <v>45588</v>
      </c>
      <c r="C1619" s="1" t="str">
        <f>TEXT(RetailStore[[#This Row],[Date]],"mmm")</f>
        <v>Oct</v>
      </c>
      <c r="D1619">
        <v>2024</v>
      </c>
      <c r="E1619" t="s">
        <v>1632</v>
      </c>
      <c r="F1619" t="s">
        <v>18</v>
      </c>
      <c r="G1619">
        <v>57</v>
      </c>
      <c r="H1619" t="s">
        <v>20</v>
      </c>
      <c r="I1619">
        <v>4</v>
      </c>
      <c r="J1619">
        <v>193</v>
      </c>
      <c r="K1619">
        <v>772</v>
      </c>
      <c r="L16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20" spans="1:12" x14ac:dyDescent="0.3">
      <c r="A1620">
        <v>1619</v>
      </c>
      <c r="B1620" s="1">
        <v>45375</v>
      </c>
      <c r="C1620" s="1" t="str">
        <f>TEXT(RetailStore[[#This Row],[Date]],"mmm")</f>
        <v>Mar</v>
      </c>
      <c r="D1620">
        <v>2024</v>
      </c>
      <c r="E1620" t="s">
        <v>1633</v>
      </c>
      <c r="F1620" t="s">
        <v>11</v>
      </c>
      <c r="G1620">
        <v>47</v>
      </c>
      <c r="H1620" t="s">
        <v>15</v>
      </c>
      <c r="I1620">
        <v>4</v>
      </c>
      <c r="J1620">
        <v>137</v>
      </c>
      <c r="K1620">
        <v>548</v>
      </c>
      <c r="L16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21" spans="1:12" x14ac:dyDescent="0.3">
      <c r="A1621">
        <v>1620</v>
      </c>
      <c r="B1621" s="1">
        <v>45293</v>
      </c>
      <c r="C1621" s="1" t="str">
        <f>TEXT(RetailStore[[#This Row],[Date]],"mmm")</f>
        <v>Jan</v>
      </c>
      <c r="D1621">
        <v>2024</v>
      </c>
      <c r="E1621" t="s">
        <v>1634</v>
      </c>
      <c r="F1621" t="s">
        <v>11</v>
      </c>
      <c r="G1621">
        <v>62</v>
      </c>
      <c r="H1621" t="s">
        <v>15</v>
      </c>
      <c r="I1621">
        <v>4</v>
      </c>
      <c r="J1621">
        <v>344</v>
      </c>
      <c r="K1621">
        <v>1376</v>
      </c>
      <c r="L16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22" spans="1:12" x14ac:dyDescent="0.3">
      <c r="A1622">
        <v>1621</v>
      </c>
      <c r="B1622" s="1">
        <v>45401</v>
      </c>
      <c r="C1622" s="1" t="str">
        <f>TEXT(RetailStore[[#This Row],[Date]],"mmm")</f>
        <v>Apr</v>
      </c>
      <c r="D1622">
        <v>2024</v>
      </c>
      <c r="E1622" t="s">
        <v>1635</v>
      </c>
      <c r="F1622" t="s">
        <v>11</v>
      </c>
      <c r="G1622">
        <v>48</v>
      </c>
      <c r="H1622" t="s">
        <v>12</v>
      </c>
      <c r="I1622">
        <v>3</v>
      </c>
      <c r="J1622">
        <v>438</v>
      </c>
      <c r="K1622">
        <v>1314</v>
      </c>
      <c r="L16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23" spans="1:12" x14ac:dyDescent="0.3">
      <c r="A1623">
        <v>1622</v>
      </c>
      <c r="B1623" s="1">
        <v>45484</v>
      </c>
      <c r="C1623" s="1" t="str">
        <f>TEXT(RetailStore[[#This Row],[Date]],"mmm")</f>
        <v>Jul</v>
      </c>
      <c r="D1623">
        <v>2024</v>
      </c>
      <c r="E1623" t="s">
        <v>1636</v>
      </c>
      <c r="F1623" t="s">
        <v>11</v>
      </c>
      <c r="G1623">
        <v>43</v>
      </c>
      <c r="H1623" t="s">
        <v>15</v>
      </c>
      <c r="I1623">
        <v>1</v>
      </c>
      <c r="J1623">
        <v>210</v>
      </c>
      <c r="K1623">
        <v>210</v>
      </c>
      <c r="L16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24" spans="1:12" x14ac:dyDescent="0.3">
      <c r="A1624">
        <v>1623</v>
      </c>
      <c r="B1624" s="1">
        <v>45297</v>
      </c>
      <c r="C1624" s="1" t="str">
        <f>TEXT(RetailStore[[#This Row],[Date]],"mmm")</f>
        <v>Jan</v>
      </c>
      <c r="D1624">
        <v>2024</v>
      </c>
      <c r="E1624" t="s">
        <v>1637</v>
      </c>
      <c r="F1624" t="s">
        <v>11</v>
      </c>
      <c r="G1624">
        <v>40</v>
      </c>
      <c r="H1624" t="s">
        <v>15</v>
      </c>
      <c r="I1624">
        <v>1</v>
      </c>
      <c r="J1624">
        <v>97</v>
      </c>
      <c r="K1624">
        <v>97</v>
      </c>
      <c r="L16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25" spans="1:12" x14ac:dyDescent="0.3">
      <c r="A1625">
        <v>1624</v>
      </c>
      <c r="B1625" s="1">
        <v>45440</v>
      </c>
      <c r="C1625" s="1" t="str">
        <f>TEXT(RetailStore[[#This Row],[Date]],"mmm")</f>
        <v>May</v>
      </c>
      <c r="D1625">
        <v>2024</v>
      </c>
      <c r="E1625" t="s">
        <v>1638</v>
      </c>
      <c r="F1625" t="s">
        <v>18</v>
      </c>
      <c r="G1625">
        <v>30</v>
      </c>
      <c r="H1625" t="s">
        <v>12</v>
      </c>
      <c r="I1625">
        <v>3</v>
      </c>
      <c r="J1625">
        <v>47</v>
      </c>
      <c r="K1625">
        <v>141</v>
      </c>
      <c r="L16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26" spans="1:12" x14ac:dyDescent="0.3">
      <c r="A1626">
        <v>1625</v>
      </c>
      <c r="B1626" s="1">
        <v>45307</v>
      </c>
      <c r="C1626" s="1" t="str">
        <f>TEXT(RetailStore[[#This Row],[Date]],"mmm")</f>
        <v>Jan</v>
      </c>
      <c r="D1626">
        <v>2024</v>
      </c>
      <c r="E1626" t="s">
        <v>1639</v>
      </c>
      <c r="F1626" t="s">
        <v>11</v>
      </c>
      <c r="G1626">
        <v>30</v>
      </c>
      <c r="H1626" t="s">
        <v>20</v>
      </c>
      <c r="I1626">
        <v>2</v>
      </c>
      <c r="J1626">
        <v>137</v>
      </c>
      <c r="K1626">
        <v>274</v>
      </c>
      <c r="L16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27" spans="1:12" x14ac:dyDescent="0.3">
      <c r="A1627">
        <v>1626</v>
      </c>
      <c r="B1627" s="1">
        <v>45426</v>
      </c>
      <c r="C1627" s="1" t="str">
        <f>TEXT(RetailStore[[#This Row],[Date]],"mmm")</f>
        <v>May</v>
      </c>
      <c r="D1627">
        <v>2024</v>
      </c>
      <c r="E1627" t="s">
        <v>1640</v>
      </c>
      <c r="F1627" t="s">
        <v>11</v>
      </c>
      <c r="G1627">
        <v>39</v>
      </c>
      <c r="H1627" t="s">
        <v>12</v>
      </c>
      <c r="I1627">
        <v>2</v>
      </c>
      <c r="J1627">
        <v>116</v>
      </c>
      <c r="K1627">
        <v>232</v>
      </c>
      <c r="L16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28" spans="1:12" x14ac:dyDescent="0.3">
      <c r="A1628">
        <v>1627</v>
      </c>
      <c r="B1628" s="1">
        <v>45392</v>
      </c>
      <c r="C1628" s="1" t="str">
        <f>TEXT(RetailStore[[#This Row],[Date]],"mmm")</f>
        <v>Apr</v>
      </c>
      <c r="D1628">
        <v>2024</v>
      </c>
      <c r="E1628" t="s">
        <v>1641</v>
      </c>
      <c r="F1628" t="s">
        <v>11</v>
      </c>
      <c r="G1628">
        <v>29</v>
      </c>
      <c r="H1628" t="s">
        <v>20</v>
      </c>
      <c r="I1628">
        <v>1</v>
      </c>
      <c r="J1628">
        <v>35</v>
      </c>
      <c r="K1628">
        <v>35</v>
      </c>
      <c r="L16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29" spans="1:12" x14ac:dyDescent="0.3">
      <c r="A1629">
        <v>1628</v>
      </c>
      <c r="B1629" s="1">
        <v>45638</v>
      </c>
      <c r="C1629" s="1" t="str">
        <f>TEXT(RetailStore[[#This Row],[Date]],"mmm")</f>
        <v>Dec</v>
      </c>
      <c r="D1629">
        <v>2024</v>
      </c>
      <c r="E1629" t="s">
        <v>1642</v>
      </c>
      <c r="F1629" t="s">
        <v>11</v>
      </c>
      <c r="G1629">
        <v>42</v>
      </c>
      <c r="H1629" t="s">
        <v>12</v>
      </c>
      <c r="I1629">
        <v>1</v>
      </c>
      <c r="J1629">
        <v>198</v>
      </c>
      <c r="K1629">
        <v>198</v>
      </c>
      <c r="L16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30" spans="1:12" x14ac:dyDescent="0.3">
      <c r="A1630">
        <v>1629</v>
      </c>
      <c r="B1630" s="1">
        <v>45399</v>
      </c>
      <c r="C1630" s="1" t="str">
        <f>TEXT(RetailStore[[#This Row],[Date]],"mmm")</f>
        <v>Apr</v>
      </c>
      <c r="D1630">
        <v>2024</v>
      </c>
      <c r="E1630" t="s">
        <v>1643</v>
      </c>
      <c r="F1630" t="s">
        <v>18</v>
      </c>
      <c r="G1630">
        <v>47</v>
      </c>
      <c r="H1630" t="s">
        <v>15</v>
      </c>
      <c r="I1630">
        <v>3</v>
      </c>
      <c r="J1630">
        <v>439</v>
      </c>
      <c r="K1630">
        <v>1317</v>
      </c>
      <c r="L16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31" spans="1:12" x14ac:dyDescent="0.3">
      <c r="A1631">
        <v>1630</v>
      </c>
      <c r="B1631" s="1">
        <v>45482</v>
      </c>
      <c r="C1631" s="1" t="str">
        <f>TEXT(RetailStore[[#This Row],[Date]],"mmm")</f>
        <v>Jul</v>
      </c>
      <c r="D1631">
        <v>2024</v>
      </c>
      <c r="E1631" t="s">
        <v>1644</v>
      </c>
      <c r="F1631" t="s">
        <v>11</v>
      </c>
      <c r="G1631">
        <v>51</v>
      </c>
      <c r="H1631" t="s">
        <v>12</v>
      </c>
      <c r="I1631">
        <v>4</v>
      </c>
      <c r="J1631">
        <v>474</v>
      </c>
      <c r="K1631">
        <v>1896</v>
      </c>
      <c r="L16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32" spans="1:12" x14ac:dyDescent="0.3">
      <c r="A1632">
        <v>1631</v>
      </c>
      <c r="B1632" s="1">
        <v>45656</v>
      </c>
      <c r="C1632" s="1" t="str">
        <f>TEXT(RetailStore[[#This Row],[Date]],"mmm")</f>
        <v>Dec</v>
      </c>
      <c r="D1632">
        <v>2024</v>
      </c>
      <c r="E1632" t="s">
        <v>1645</v>
      </c>
      <c r="F1632" t="s">
        <v>11</v>
      </c>
      <c r="G1632">
        <v>25</v>
      </c>
      <c r="H1632" t="s">
        <v>15</v>
      </c>
      <c r="I1632">
        <v>2</v>
      </c>
      <c r="J1632">
        <v>431</v>
      </c>
      <c r="K1632">
        <v>862</v>
      </c>
      <c r="L16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33" spans="1:12" x14ac:dyDescent="0.3">
      <c r="A1633">
        <v>1632</v>
      </c>
      <c r="B1633" s="1">
        <v>45389</v>
      </c>
      <c r="C1633" s="1" t="str">
        <f>TEXT(RetailStore[[#This Row],[Date]],"mmm")</f>
        <v>Apr</v>
      </c>
      <c r="D1633">
        <v>2024</v>
      </c>
      <c r="E1633" t="s">
        <v>1646</v>
      </c>
      <c r="F1633" t="s">
        <v>11</v>
      </c>
      <c r="G1633">
        <v>52</v>
      </c>
      <c r="H1633" t="s">
        <v>20</v>
      </c>
      <c r="I1633">
        <v>3</v>
      </c>
      <c r="J1633">
        <v>187</v>
      </c>
      <c r="K1633">
        <v>561</v>
      </c>
      <c r="L16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34" spans="1:12" x14ac:dyDescent="0.3">
      <c r="A1634">
        <v>1633</v>
      </c>
      <c r="B1634" s="1">
        <v>45598</v>
      </c>
      <c r="C1634" s="1" t="str">
        <f>TEXT(RetailStore[[#This Row],[Date]],"mmm")</f>
        <v>Nov</v>
      </c>
      <c r="D1634">
        <v>2024</v>
      </c>
      <c r="E1634" t="s">
        <v>1647</v>
      </c>
      <c r="F1634" t="s">
        <v>18</v>
      </c>
      <c r="G1634">
        <v>58</v>
      </c>
      <c r="H1634" t="s">
        <v>15</v>
      </c>
      <c r="I1634">
        <v>1</v>
      </c>
      <c r="J1634">
        <v>415</v>
      </c>
      <c r="K1634">
        <v>415</v>
      </c>
      <c r="L16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35" spans="1:12" x14ac:dyDescent="0.3">
      <c r="A1635">
        <v>1634</v>
      </c>
      <c r="B1635" s="1">
        <v>45607</v>
      </c>
      <c r="C1635" s="1" t="str">
        <f>TEXT(RetailStore[[#This Row],[Date]],"mmm")</f>
        <v>Nov</v>
      </c>
      <c r="D1635">
        <v>2024</v>
      </c>
      <c r="E1635" t="s">
        <v>1648</v>
      </c>
      <c r="F1635" t="s">
        <v>11</v>
      </c>
      <c r="G1635">
        <v>52</v>
      </c>
      <c r="H1635" t="s">
        <v>20</v>
      </c>
      <c r="I1635">
        <v>2</v>
      </c>
      <c r="J1635">
        <v>192</v>
      </c>
      <c r="K1635">
        <v>384</v>
      </c>
      <c r="L16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36" spans="1:12" x14ac:dyDescent="0.3">
      <c r="A1636">
        <v>1635</v>
      </c>
      <c r="B1636" s="1">
        <v>45418</v>
      </c>
      <c r="C1636" s="1" t="str">
        <f>TEXT(RetailStore[[#This Row],[Date]],"mmm")</f>
        <v>May</v>
      </c>
      <c r="D1636">
        <v>2024</v>
      </c>
      <c r="E1636" t="s">
        <v>1649</v>
      </c>
      <c r="F1636" t="s">
        <v>11</v>
      </c>
      <c r="G1636">
        <v>58</v>
      </c>
      <c r="H1636" t="s">
        <v>20</v>
      </c>
      <c r="I1636">
        <v>2</v>
      </c>
      <c r="J1636">
        <v>460</v>
      </c>
      <c r="K1636">
        <v>920</v>
      </c>
      <c r="L16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37" spans="1:12" x14ac:dyDescent="0.3">
      <c r="A1637">
        <v>1636</v>
      </c>
      <c r="B1637" s="1">
        <v>45552</v>
      </c>
      <c r="C1637" s="1" t="str">
        <f>TEXT(RetailStore[[#This Row],[Date]],"mmm")</f>
        <v>Sep</v>
      </c>
      <c r="D1637">
        <v>2024</v>
      </c>
      <c r="E1637" t="s">
        <v>1650</v>
      </c>
      <c r="F1637" t="s">
        <v>18</v>
      </c>
      <c r="G1637">
        <v>31</v>
      </c>
      <c r="H1637" t="s">
        <v>12</v>
      </c>
      <c r="I1637">
        <v>1</v>
      </c>
      <c r="J1637">
        <v>426</v>
      </c>
      <c r="K1637">
        <v>426</v>
      </c>
      <c r="L16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38" spans="1:12" x14ac:dyDescent="0.3">
      <c r="A1638">
        <v>1637</v>
      </c>
      <c r="B1638" s="1">
        <v>45532</v>
      </c>
      <c r="C1638" s="1" t="str">
        <f>TEXT(RetailStore[[#This Row],[Date]],"mmm")</f>
        <v>Aug</v>
      </c>
      <c r="D1638">
        <v>2024</v>
      </c>
      <c r="E1638" t="s">
        <v>1651</v>
      </c>
      <c r="F1638" t="s">
        <v>11</v>
      </c>
      <c r="G1638">
        <v>28</v>
      </c>
      <c r="H1638" t="s">
        <v>12</v>
      </c>
      <c r="I1638">
        <v>4</v>
      </c>
      <c r="J1638">
        <v>409</v>
      </c>
      <c r="K1638">
        <v>1636</v>
      </c>
      <c r="L16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39" spans="1:12" x14ac:dyDescent="0.3">
      <c r="A1639">
        <v>1638</v>
      </c>
      <c r="B1639" s="1">
        <v>45622</v>
      </c>
      <c r="C1639" s="1" t="str">
        <f>TEXT(RetailStore[[#This Row],[Date]],"mmm")</f>
        <v>Nov</v>
      </c>
      <c r="D1639">
        <v>2024</v>
      </c>
      <c r="E1639" t="s">
        <v>1652</v>
      </c>
      <c r="F1639" t="s">
        <v>18</v>
      </c>
      <c r="G1639">
        <v>49</v>
      </c>
      <c r="H1639" t="s">
        <v>12</v>
      </c>
      <c r="I1639">
        <v>4</v>
      </c>
      <c r="J1639">
        <v>116</v>
      </c>
      <c r="K1639">
        <v>464</v>
      </c>
      <c r="L16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40" spans="1:12" x14ac:dyDescent="0.3">
      <c r="A1640">
        <v>1639</v>
      </c>
      <c r="B1640" s="1">
        <v>45456</v>
      </c>
      <c r="C1640" s="1" t="str">
        <f>TEXT(RetailStore[[#This Row],[Date]],"mmm")</f>
        <v>Jun</v>
      </c>
      <c r="D1640">
        <v>2024</v>
      </c>
      <c r="E1640" t="s">
        <v>1653</v>
      </c>
      <c r="F1640" t="s">
        <v>18</v>
      </c>
      <c r="G1640">
        <v>51</v>
      </c>
      <c r="H1640" t="s">
        <v>12</v>
      </c>
      <c r="I1640">
        <v>4</v>
      </c>
      <c r="J1640">
        <v>391</v>
      </c>
      <c r="K1640">
        <v>1564</v>
      </c>
      <c r="L16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41" spans="1:12" x14ac:dyDescent="0.3">
      <c r="A1641">
        <v>1640</v>
      </c>
      <c r="B1641" s="1">
        <v>45545</v>
      </c>
      <c r="C1641" s="1" t="str">
        <f>TEXT(RetailStore[[#This Row],[Date]],"mmm")</f>
        <v>Sep</v>
      </c>
      <c r="D1641">
        <v>2024</v>
      </c>
      <c r="E1641" t="s">
        <v>1654</v>
      </c>
      <c r="F1641" t="s">
        <v>18</v>
      </c>
      <c r="G1641">
        <v>35</v>
      </c>
      <c r="H1641" t="s">
        <v>12</v>
      </c>
      <c r="I1641">
        <v>4</v>
      </c>
      <c r="J1641">
        <v>351</v>
      </c>
      <c r="K1641">
        <v>1404</v>
      </c>
      <c r="L16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42" spans="1:12" x14ac:dyDescent="0.3">
      <c r="A1642">
        <v>1641</v>
      </c>
      <c r="B1642" s="1">
        <v>45590</v>
      </c>
      <c r="C1642" s="1" t="str">
        <f>TEXT(RetailStore[[#This Row],[Date]],"mmm")</f>
        <v>Oct</v>
      </c>
      <c r="D1642">
        <v>2024</v>
      </c>
      <c r="E1642" t="s">
        <v>1655</v>
      </c>
      <c r="F1642" t="s">
        <v>11</v>
      </c>
      <c r="G1642">
        <v>31</v>
      </c>
      <c r="H1642" t="s">
        <v>15</v>
      </c>
      <c r="I1642">
        <v>2</v>
      </c>
      <c r="J1642">
        <v>256</v>
      </c>
      <c r="K1642">
        <v>512</v>
      </c>
      <c r="L16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43" spans="1:12" x14ac:dyDescent="0.3">
      <c r="A1643">
        <v>1642</v>
      </c>
      <c r="B1643" s="1">
        <v>45412</v>
      </c>
      <c r="C1643" s="1" t="str">
        <f>TEXT(RetailStore[[#This Row],[Date]],"mmm")</f>
        <v>Apr</v>
      </c>
      <c r="D1643">
        <v>2024</v>
      </c>
      <c r="E1643" t="s">
        <v>1656</v>
      </c>
      <c r="F1643" t="s">
        <v>18</v>
      </c>
      <c r="G1643">
        <v>31</v>
      </c>
      <c r="H1643" t="s">
        <v>20</v>
      </c>
      <c r="I1643">
        <v>4</v>
      </c>
      <c r="J1643">
        <v>480</v>
      </c>
      <c r="K1643">
        <v>1920</v>
      </c>
      <c r="L16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44" spans="1:12" x14ac:dyDescent="0.3">
      <c r="A1644">
        <v>1643</v>
      </c>
      <c r="B1644" s="1">
        <v>45485</v>
      </c>
      <c r="C1644" s="1" t="str">
        <f>TEXT(RetailStore[[#This Row],[Date]],"mmm")</f>
        <v>Jul</v>
      </c>
      <c r="D1644">
        <v>2024</v>
      </c>
      <c r="E1644" t="s">
        <v>1657</v>
      </c>
      <c r="F1644" t="s">
        <v>11</v>
      </c>
      <c r="G1644">
        <v>41</v>
      </c>
      <c r="H1644" t="s">
        <v>20</v>
      </c>
      <c r="I1644">
        <v>1</v>
      </c>
      <c r="J1644">
        <v>93</v>
      </c>
      <c r="K1644">
        <v>93</v>
      </c>
      <c r="L16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45" spans="1:12" x14ac:dyDescent="0.3">
      <c r="A1645">
        <v>1644</v>
      </c>
      <c r="B1645" s="1">
        <v>45335</v>
      </c>
      <c r="C1645" s="1" t="str">
        <f>TEXT(RetailStore[[#This Row],[Date]],"mmm")</f>
        <v>Feb</v>
      </c>
      <c r="D1645">
        <v>2024</v>
      </c>
      <c r="E1645" t="s">
        <v>1658</v>
      </c>
      <c r="F1645" t="s">
        <v>18</v>
      </c>
      <c r="G1645">
        <v>46</v>
      </c>
      <c r="H1645" t="s">
        <v>12</v>
      </c>
      <c r="I1645">
        <v>3</v>
      </c>
      <c r="J1645">
        <v>142</v>
      </c>
      <c r="K1645">
        <v>426</v>
      </c>
      <c r="L16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46" spans="1:12" x14ac:dyDescent="0.3">
      <c r="A1646">
        <v>1645</v>
      </c>
      <c r="B1646" s="1">
        <v>45590</v>
      </c>
      <c r="C1646" s="1" t="str">
        <f>TEXT(RetailStore[[#This Row],[Date]],"mmm")</f>
        <v>Oct</v>
      </c>
      <c r="D1646">
        <v>2024</v>
      </c>
      <c r="E1646" t="s">
        <v>1659</v>
      </c>
      <c r="F1646" t="s">
        <v>11</v>
      </c>
      <c r="G1646">
        <v>47</v>
      </c>
      <c r="H1646" t="s">
        <v>12</v>
      </c>
      <c r="I1646">
        <v>3</v>
      </c>
      <c r="J1646">
        <v>243</v>
      </c>
      <c r="K1646">
        <v>729</v>
      </c>
      <c r="L16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47" spans="1:12" x14ac:dyDescent="0.3">
      <c r="A1647">
        <v>1646</v>
      </c>
      <c r="B1647" s="1">
        <v>45522</v>
      </c>
      <c r="C1647" s="1" t="str">
        <f>TEXT(RetailStore[[#This Row],[Date]],"mmm")</f>
        <v>Aug</v>
      </c>
      <c r="D1647">
        <v>2024</v>
      </c>
      <c r="E1647" t="s">
        <v>1660</v>
      </c>
      <c r="F1647" t="s">
        <v>18</v>
      </c>
      <c r="G1647">
        <v>45</v>
      </c>
      <c r="H1647" t="s">
        <v>20</v>
      </c>
      <c r="I1647">
        <v>3</v>
      </c>
      <c r="J1647">
        <v>436</v>
      </c>
      <c r="K1647">
        <v>1308</v>
      </c>
      <c r="L16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48" spans="1:12" x14ac:dyDescent="0.3">
      <c r="A1648">
        <v>1647</v>
      </c>
      <c r="B1648" s="1">
        <v>45546</v>
      </c>
      <c r="C1648" s="1" t="str">
        <f>TEXT(RetailStore[[#This Row],[Date]],"mmm")</f>
        <v>Sep</v>
      </c>
      <c r="D1648">
        <v>2024</v>
      </c>
      <c r="E1648" t="s">
        <v>1661</v>
      </c>
      <c r="F1648" t="s">
        <v>18</v>
      </c>
      <c r="G1648">
        <v>35</v>
      </c>
      <c r="H1648" t="s">
        <v>20</v>
      </c>
      <c r="I1648">
        <v>1</v>
      </c>
      <c r="J1648">
        <v>116</v>
      </c>
      <c r="K1648">
        <v>116</v>
      </c>
      <c r="L16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49" spans="1:12" x14ac:dyDescent="0.3">
      <c r="A1649">
        <v>1648</v>
      </c>
      <c r="B1649" s="1">
        <v>45518</v>
      </c>
      <c r="C1649" s="1" t="str">
        <f>TEXT(RetailStore[[#This Row],[Date]],"mmm")</f>
        <v>Aug</v>
      </c>
      <c r="D1649">
        <v>2024</v>
      </c>
      <c r="E1649" t="s">
        <v>1662</v>
      </c>
      <c r="F1649" t="s">
        <v>11</v>
      </c>
      <c r="G1649">
        <v>34</v>
      </c>
      <c r="H1649" t="s">
        <v>12</v>
      </c>
      <c r="I1649">
        <v>1</v>
      </c>
      <c r="J1649">
        <v>208</v>
      </c>
      <c r="K1649">
        <v>208</v>
      </c>
      <c r="L16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50" spans="1:12" x14ac:dyDescent="0.3">
      <c r="A1650">
        <v>1649</v>
      </c>
      <c r="B1650" s="1">
        <v>45334</v>
      </c>
      <c r="C1650" s="1" t="str">
        <f>TEXT(RetailStore[[#This Row],[Date]],"mmm")</f>
        <v>Feb</v>
      </c>
      <c r="D1650">
        <v>2024</v>
      </c>
      <c r="E1650" t="s">
        <v>1663</v>
      </c>
      <c r="F1650" t="s">
        <v>18</v>
      </c>
      <c r="G1650">
        <v>50</v>
      </c>
      <c r="H1650" t="s">
        <v>12</v>
      </c>
      <c r="I1650">
        <v>1</v>
      </c>
      <c r="J1650">
        <v>427</v>
      </c>
      <c r="K1650">
        <v>427</v>
      </c>
      <c r="L16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51" spans="1:12" x14ac:dyDescent="0.3">
      <c r="A1651">
        <v>1650</v>
      </c>
      <c r="B1651" s="1">
        <v>45433</v>
      </c>
      <c r="C1651" s="1" t="str">
        <f>TEXT(RetailStore[[#This Row],[Date]],"mmm")</f>
        <v>May</v>
      </c>
      <c r="D1651">
        <v>2024</v>
      </c>
      <c r="E1651" t="s">
        <v>1664</v>
      </c>
      <c r="F1651" t="s">
        <v>11</v>
      </c>
      <c r="G1651">
        <v>24</v>
      </c>
      <c r="H1651" t="s">
        <v>15</v>
      </c>
      <c r="I1651">
        <v>1</v>
      </c>
      <c r="J1651">
        <v>209</v>
      </c>
      <c r="K1651">
        <v>209</v>
      </c>
      <c r="L16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52" spans="1:12" x14ac:dyDescent="0.3">
      <c r="A1652">
        <v>1651</v>
      </c>
      <c r="B1652" s="1">
        <v>45311</v>
      </c>
      <c r="C1652" s="1" t="str">
        <f>TEXT(RetailStore[[#This Row],[Date]],"mmm")</f>
        <v>Jan</v>
      </c>
      <c r="D1652">
        <v>2024</v>
      </c>
      <c r="E1652" t="s">
        <v>1665</v>
      </c>
      <c r="F1652" t="s">
        <v>11</v>
      </c>
      <c r="G1652">
        <v>39</v>
      </c>
      <c r="H1652" t="s">
        <v>15</v>
      </c>
      <c r="I1652">
        <v>3</v>
      </c>
      <c r="J1652">
        <v>153</v>
      </c>
      <c r="K1652">
        <v>459</v>
      </c>
      <c r="L16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53" spans="1:12" x14ac:dyDescent="0.3">
      <c r="A1653">
        <v>1652</v>
      </c>
      <c r="B1653" s="1">
        <v>45446</v>
      </c>
      <c r="C1653" s="1" t="str">
        <f>TEXT(RetailStore[[#This Row],[Date]],"mmm")</f>
        <v>Jun</v>
      </c>
      <c r="D1653">
        <v>2024</v>
      </c>
      <c r="E1653" t="s">
        <v>1666</v>
      </c>
      <c r="F1653" t="s">
        <v>18</v>
      </c>
      <c r="G1653">
        <v>30</v>
      </c>
      <c r="H1653" t="s">
        <v>12</v>
      </c>
      <c r="I1653">
        <v>2</v>
      </c>
      <c r="J1653">
        <v>462</v>
      </c>
      <c r="K1653">
        <v>924</v>
      </c>
      <c r="L16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54" spans="1:12" x14ac:dyDescent="0.3">
      <c r="A1654">
        <v>1653</v>
      </c>
      <c r="B1654" s="1">
        <v>45570</v>
      </c>
      <c r="C1654" s="1" t="str">
        <f>TEXT(RetailStore[[#This Row],[Date]],"mmm")</f>
        <v>Oct</v>
      </c>
      <c r="D1654">
        <v>2024</v>
      </c>
      <c r="E1654" t="s">
        <v>1667</v>
      </c>
      <c r="F1654" t="s">
        <v>18</v>
      </c>
      <c r="G1654">
        <v>18</v>
      </c>
      <c r="H1654" t="s">
        <v>20</v>
      </c>
      <c r="I1654">
        <v>3</v>
      </c>
      <c r="J1654">
        <v>446</v>
      </c>
      <c r="K1654">
        <v>1338</v>
      </c>
      <c r="L16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55" spans="1:12" x14ac:dyDescent="0.3">
      <c r="A1655">
        <v>1654</v>
      </c>
      <c r="B1655" s="1">
        <v>45469</v>
      </c>
      <c r="C1655" s="1" t="str">
        <f>TEXT(RetailStore[[#This Row],[Date]],"mmm")</f>
        <v>Jun</v>
      </c>
      <c r="D1655">
        <v>2024</v>
      </c>
      <c r="E1655" t="s">
        <v>1668</v>
      </c>
      <c r="F1655" t="s">
        <v>18</v>
      </c>
      <c r="G1655">
        <v>43</v>
      </c>
      <c r="H1655" t="s">
        <v>12</v>
      </c>
      <c r="I1655">
        <v>1</v>
      </c>
      <c r="J1655">
        <v>266</v>
      </c>
      <c r="K1655">
        <v>266</v>
      </c>
      <c r="L16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56" spans="1:12" x14ac:dyDescent="0.3">
      <c r="A1656">
        <v>1655</v>
      </c>
      <c r="B1656" s="1">
        <v>45626</v>
      </c>
      <c r="C1656" s="1" t="str">
        <f>TEXT(RetailStore[[#This Row],[Date]],"mmm")</f>
        <v>Nov</v>
      </c>
      <c r="D1656">
        <v>2024</v>
      </c>
      <c r="E1656" t="s">
        <v>1669</v>
      </c>
      <c r="F1656" t="s">
        <v>11</v>
      </c>
      <c r="G1656">
        <v>43</v>
      </c>
      <c r="H1656" t="s">
        <v>15</v>
      </c>
      <c r="I1656">
        <v>2</v>
      </c>
      <c r="J1656">
        <v>395</v>
      </c>
      <c r="K1656">
        <v>790</v>
      </c>
      <c r="L16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57" spans="1:12" x14ac:dyDescent="0.3">
      <c r="A1657">
        <v>1656</v>
      </c>
      <c r="B1657" s="1">
        <v>45399</v>
      </c>
      <c r="C1657" s="1" t="str">
        <f>TEXT(RetailStore[[#This Row],[Date]],"mmm")</f>
        <v>Apr</v>
      </c>
      <c r="D1657">
        <v>2024</v>
      </c>
      <c r="E1657" t="s">
        <v>1670</v>
      </c>
      <c r="F1657" t="s">
        <v>18</v>
      </c>
      <c r="G1657">
        <v>32</v>
      </c>
      <c r="H1657" t="s">
        <v>12</v>
      </c>
      <c r="I1657">
        <v>4</v>
      </c>
      <c r="J1657">
        <v>394</v>
      </c>
      <c r="K1657">
        <v>1576</v>
      </c>
      <c r="L16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58" spans="1:12" x14ac:dyDescent="0.3">
      <c r="A1658">
        <v>1657</v>
      </c>
      <c r="B1658" s="1">
        <v>45528</v>
      </c>
      <c r="C1658" s="1" t="str">
        <f>TEXT(RetailStore[[#This Row],[Date]],"mmm")</f>
        <v>Aug</v>
      </c>
      <c r="D1658">
        <v>2024</v>
      </c>
      <c r="E1658" t="s">
        <v>1671</v>
      </c>
      <c r="F1658" t="s">
        <v>18</v>
      </c>
      <c r="G1658">
        <v>23</v>
      </c>
      <c r="H1658" t="s">
        <v>20</v>
      </c>
      <c r="I1658">
        <v>2</v>
      </c>
      <c r="J1658">
        <v>244</v>
      </c>
      <c r="K1658">
        <v>488</v>
      </c>
      <c r="L16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59" spans="1:12" x14ac:dyDescent="0.3">
      <c r="A1659">
        <v>1658</v>
      </c>
      <c r="B1659" s="1">
        <v>45649</v>
      </c>
      <c r="C1659" s="1" t="str">
        <f>TEXT(RetailStore[[#This Row],[Date]],"mmm")</f>
        <v>Dec</v>
      </c>
      <c r="D1659">
        <v>2024</v>
      </c>
      <c r="E1659" t="s">
        <v>1672</v>
      </c>
      <c r="F1659" t="s">
        <v>18</v>
      </c>
      <c r="G1659">
        <v>31</v>
      </c>
      <c r="H1659" t="s">
        <v>20</v>
      </c>
      <c r="I1659">
        <v>4</v>
      </c>
      <c r="J1659">
        <v>461</v>
      </c>
      <c r="K1659">
        <v>1844</v>
      </c>
      <c r="L16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60" spans="1:12" x14ac:dyDescent="0.3">
      <c r="A1660">
        <v>1659</v>
      </c>
      <c r="B1660" s="1">
        <v>45577</v>
      </c>
      <c r="C1660" s="1" t="str">
        <f>TEXT(RetailStore[[#This Row],[Date]],"mmm")</f>
        <v>Oct</v>
      </c>
      <c r="D1660">
        <v>2024</v>
      </c>
      <c r="E1660" t="s">
        <v>1673</v>
      </c>
      <c r="F1660" t="s">
        <v>11</v>
      </c>
      <c r="G1660">
        <v>41</v>
      </c>
      <c r="H1660" t="s">
        <v>15</v>
      </c>
      <c r="I1660">
        <v>2</v>
      </c>
      <c r="J1660">
        <v>181</v>
      </c>
      <c r="K1660">
        <v>362</v>
      </c>
      <c r="L16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61" spans="1:12" x14ac:dyDescent="0.3">
      <c r="A1661">
        <v>1660</v>
      </c>
      <c r="B1661" s="1">
        <v>45296</v>
      </c>
      <c r="C1661" s="1" t="str">
        <f>TEXT(RetailStore[[#This Row],[Date]],"mmm")</f>
        <v>Jan</v>
      </c>
      <c r="D1661">
        <v>2024</v>
      </c>
      <c r="E1661" t="s">
        <v>1674</v>
      </c>
      <c r="F1661" t="s">
        <v>18</v>
      </c>
      <c r="G1661">
        <v>60</v>
      </c>
      <c r="H1661" t="s">
        <v>20</v>
      </c>
      <c r="I1661">
        <v>3</v>
      </c>
      <c r="J1661">
        <v>140</v>
      </c>
      <c r="K1661">
        <v>420</v>
      </c>
      <c r="L16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62" spans="1:12" x14ac:dyDescent="0.3">
      <c r="A1662">
        <v>1661</v>
      </c>
      <c r="B1662" s="1">
        <v>45506</v>
      </c>
      <c r="C1662" s="1" t="str">
        <f>TEXT(RetailStore[[#This Row],[Date]],"mmm")</f>
        <v>Aug</v>
      </c>
      <c r="D1662">
        <v>2024</v>
      </c>
      <c r="E1662" t="s">
        <v>1675</v>
      </c>
      <c r="F1662" t="s">
        <v>18</v>
      </c>
      <c r="G1662">
        <v>61</v>
      </c>
      <c r="H1662" t="s">
        <v>20</v>
      </c>
      <c r="I1662">
        <v>3</v>
      </c>
      <c r="J1662">
        <v>191</v>
      </c>
      <c r="K1662">
        <v>573</v>
      </c>
      <c r="L16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63" spans="1:12" x14ac:dyDescent="0.3">
      <c r="A1663">
        <v>1662</v>
      </c>
      <c r="B1663" s="1">
        <v>45592</v>
      </c>
      <c r="C1663" s="1" t="str">
        <f>TEXT(RetailStore[[#This Row],[Date]],"mmm")</f>
        <v>Oct</v>
      </c>
      <c r="D1663">
        <v>2024</v>
      </c>
      <c r="E1663" t="s">
        <v>1676</v>
      </c>
      <c r="F1663" t="s">
        <v>11</v>
      </c>
      <c r="G1663">
        <v>54</v>
      </c>
      <c r="H1663" t="s">
        <v>15</v>
      </c>
      <c r="I1663">
        <v>2</v>
      </c>
      <c r="J1663">
        <v>103</v>
      </c>
      <c r="K1663">
        <v>206</v>
      </c>
      <c r="L16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64" spans="1:12" x14ac:dyDescent="0.3">
      <c r="A1664">
        <v>1663</v>
      </c>
      <c r="B1664" s="1">
        <v>45461</v>
      </c>
      <c r="C1664" s="1" t="str">
        <f>TEXT(RetailStore[[#This Row],[Date]],"mmm")</f>
        <v>Jun</v>
      </c>
      <c r="D1664">
        <v>2024</v>
      </c>
      <c r="E1664" t="s">
        <v>1677</v>
      </c>
      <c r="F1664" t="s">
        <v>18</v>
      </c>
      <c r="G1664">
        <v>42</v>
      </c>
      <c r="H1664" t="s">
        <v>15</v>
      </c>
      <c r="I1664">
        <v>4</v>
      </c>
      <c r="J1664">
        <v>57</v>
      </c>
      <c r="K1664">
        <v>228</v>
      </c>
      <c r="L16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65" spans="1:12" x14ac:dyDescent="0.3">
      <c r="A1665">
        <v>1664</v>
      </c>
      <c r="B1665" s="1">
        <v>45565</v>
      </c>
      <c r="C1665" s="1" t="str">
        <f>TEXT(RetailStore[[#This Row],[Date]],"mmm")</f>
        <v>Sep</v>
      </c>
      <c r="D1665">
        <v>2024</v>
      </c>
      <c r="E1665" t="s">
        <v>1678</v>
      </c>
      <c r="F1665" t="s">
        <v>18</v>
      </c>
      <c r="G1665">
        <v>30</v>
      </c>
      <c r="H1665" t="s">
        <v>20</v>
      </c>
      <c r="I1665">
        <v>1</v>
      </c>
      <c r="J1665">
        <v>193</v>
      </c>
      <c r="K1665">
        <v>193</v>
      </c>
      <c r="L16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66" spans="1:12" x14ac:dyDescent="0.3">
      <c r="A1666">
        <v>1665</v>
      </c>
      <c r="B1666" s="1">
        <v>45583</v>
      </c>
      <c r="C1666" s="1" t="str">
        <f>TEXT(RetailStore[[#This Row],[Date]],"mmm")</f>
        <v>Oct</v>
      </c>
      <c r="D1666">
        <v>2024</v>
      </c>
      <c r="E1666" t="s">
        <v>1679</v>
      </c>
      <c r="F1666" t="s">
        <v>18</v>
      </c>
      <c r="G1666">
        <v>58</v>
      </c>
      <c r="H1666" t="s">
        <v>20</v>
      </c>
      <c r="I1666">
        <v>1</v>
      </c>
      <c r="J1666">
        <v>112</v>
      </c>
      <c r="K1666">
        <v>112</v>
      </c>
      <c r="L16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67" spans="1:12" x14ac:dyDescent="0.3">
      <c r="A1667">
        <v>1666</v>
      </c>
      <c r="B1667" s="1">
        <v>45345</v>
      </c>
      <c r="C1667" s="1" t="str">
        <f>TEXT(RetailStore[[#This Row],[Date]],"mmm")</f>
        <v>Feb</v>
      </c>
      <c r="D1667">
        <v>2024</v>
      </c>
      <c r="E1667" t="s">
        <v>1680</v>
      </c>
      <c r="F1667" t="s">
        <v>11</v>
      </c>
      <c r="G1667">
        <v>20</v>
      </c>
      <c r="H1667" t="s">
        <v>12</v>
      </c>
      <c r="I1667">
        <v>4</v>
      </c>
      <c r="J1667">
        <v>38</v>
      </c>
      <c r="K1667">
        <v>152</v>
      </c>
      <c r="L16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68" spans="1:12" x14ac:dyDescent="0.3">
      <c r="A1668">
        <v>1667</v>
      </c>
      <c r="B1668" s="1">
        <v>45387</v>
      </c>
      <c r="C1668" s="1" t="str">
        <f>TEXT(RetailStore[[#This Row],[Date]],"mmm")</f>
        <v>Apr</v>
      </c>
      <c r="D1668">
        <v>2024</v>
      </c>
      <c r="E1668" t="s">
        <v>1681</v>
      </c>
      <c r="F1668" t="s">
        <v>11</v>
      </c>
      <c r="G1668">
        <v>22</v>
      </c>
      <c r="H1668" t="s">
        <v>20</v>
      </c>
      <c r="I1668">
        <v>3</v>
      </c>
      <c r="J1668">
        <v>130</v>
      </c>
      <c r="K1668">
        <v>390</v>
      </c>
      <c r="L16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69" spans="1:12" x14ac:dyDescent="0.3">
      <c r="A1669">
        <v>1668</v>
      </c>
      <c r="B1669" s="1">
        <v>45411</v>
      </c>
      <c r="C1669" s="1" t="str">
        <f>TEXT(RetailStore[[#This Row],[Date]],"mmm")</f>
        <v>Apr</v>
      </c>
      <c r="D1669">
        <v>2024</v>
      </c>
      <c r="E1669" t="s">
        <v>1682</v>
      </c>
      <c r="F1669" t="s">
        <v>18</v>
      </c>
      <c r="G1669">
        <v>60</v>
      </c>
      <c r="H1669" t="s">
        <v>12</v>
      </c>
      <c r="I1669">
        <v>1</v>
      </c>
      <c r="J1669">
        <v>257</v>
      </c>
      <c r="K1669">
        <v>257</v>
      </c>
      <c r="L16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70" spans="1:12" x14ac:dyDescent="0.3">
      <c r="A1670">
        <v>1669</v>
      </c>
      <c r="B1670" s="1">
        <v>45321</v>
      </c>
      <c r="C1670" s="1" t="str">
        <f>TEXT(RetailStore[[#This Row],[Date]],"mmm")</f>
        <v>Jan</v>
      </c>
      <c r="D1670">
        <v>2024</v>
      </c>
      <c r="E1670" t="s">
        <v>1683</v>
      </c>
      <c r="F1670" t="s">
        <v>18</v>
      </c>
      <c r="G1670">
        <v>51</v>
      </c>
      <c r="H1670" t="s">
        <v>15</v>
      </c>
      <c r="I1670">
        <v>2</v>
      </c>
      <c r="J1670">
        <v>192</v>
      </c>
      <c r="K1670">
        <v>384</v>
      </c>
      <c r="L16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71" spans="1:12" x14ac:dyDescent="0.3">
      <c r="A1671">
        <v>1670</v>
      </c>
      <c r="B1671" s="1">
        <v>45502</v>
      </c>
      <c r="C1671" s="1" t="str">
        <f>TEXT(RetailStore[[#This Row],[Date]],"mmm")</f>
        <v>Jul</v>
      </c>
      <c r="D1671">
        <v>2024</v>
      </c>
      <c r="E1671" t="s">
        <v>1684</v>
      </c>
      <c r="F1671" t="s">
        <v>18</v>
      </c>
      <c r="G1671">
        <v>28</v>
      </c>
      <c r="H1671" t="s">
        <v>15</v>
      </c>
      <c r="I1671">
        <v>2</v>
      </c>
      <c r="J1671">
        <v>299</v>
      </c>
      <c r="K1671">
        <v>598</v>
      </c>
      <c r="L16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72" spans="1:12" x14ac:dyDescent="0.3">
      <c r="A1672">
        <v>1671</v>
      </c>
      <c r="B1672" s="1">
        <v>45506</v>
      </c>
      <c r="C1672" s="1" t="str">
        <f>TEXT(RetailStore[[#This Row],[Date]],"mmm")</f>
        <v>Aug</v>
      </c>
      <c r="D1672">
        <v>2024</v>
      </c>
      <c r="E1672" t="s">
        <v>1685</v>
      </c>
      <c r="F1672" t="s">
        <v>18</v>
      </c>
      <c r="G1672">
        <v>22</v>
      </c>
      <c r="H1672" t="s">
        <v>20</v>
      </c>
      <c r="I1672">
        <v>2</v>
      </c>
      <c r="J1672">
        <v>91</v>
      </c>
      <c r="K1672">
        <v>182</v>
      </c>
      <c r="L16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73" spans="1:12" x14ac:dyDescent="0.3">
      <c r="A1673">
        <v>1672</v>
      </c>
      <c r="B1673" s="1">
        <v>45397</v>
      </c>
      <c r="C1673" s="1" t="str">
        <f>TEXT(RetailStore[[#This Row],[Date]],"mmm")</f>
        <v>Apr</v>
      </c>
      <c r="D1673">
        <v>2024</v>
      </c>
      <c r="E1673" t="s">
        <v>1686</v>
      </c>
      <c r="F1673" t="s">
        <v>18</v>
      </c>
      <c r="G1673">
        <v>45</v>
      </c>
      <c r="H1673" t="s">
        <v>12</v>
      </c>
      <c r="I1673">
        <v>4</v>
      </c>
      <c r="J1673">
        <v>106</v>
      </c>
      <c r="K1673">
        <v>424</v>
      </c>
      <c r="L16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74" spans="1:12" x14ac:dyDescent="0.3">
      <c r="A1674">
        <v>1673</v>
      </c>
      <c r="B1674" s="1">
        <v>45601</v>
      </c>
      <c r="C1674" s="1" t="str">
        <f>TEXT(RetailStore[[#This Row],[Date]],"mmm")</f>
        <v>Nov</v>
      </c>
      <c r="D1674">
        <v>2024</v>
      </c>
      <c r="E1674" t="s">
        <v>1687</v>
      </c>
      <c r="F1674" t="s">
        <v>18</v>
      </c>
      <c r="G1674">
        <v>55</v>
      </c>
      <c r="H1674" t="s">
        <v>15</v>
      </c>
      <c r="I1674">
        <v>4</v>
      </c>
      <c r="J1674">
        <v>166</v>
      </c>
      <c r="K1674">
        <v>664</v>
      </c>
      <c r="L16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75" spans="1:12" x14ac:dyDescent="0.3">
      <c r="A1675">
        <v>1674</v>
      </c>
      <c r="B1675" s="1">
        <v>45395</v>
      </c>
      <c r="C1675" s="1" t="str">
        <f>TEXT(RetailStore[[#This Row],[Date]],"mmm")</f>
        <v>Apr</v>
      </c>
      <c r="D1675">
        <v>2024</v>
      </c>
      <c r="E1675" t="s">
        <v>1688</v>
      </c>
      <c r="F1675" t="s">
        <v>11</v>
      </c>
      <c r="G1675">
        <v>27</v>
      </c>
      <c r="H1675" t="s">
        <v>20</v>
      </c>
      <c r="I1675">
        <v>1</v>
      </c>
      <c r="J1675">
        <v>447</v>
      </c>
      <c r="K1675">
        <v>447</v>
      </c>
      <c r="L16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76" spans="1:12" x14ac:dyDescent="0.3">
      <c r="A1676">
        <v>1675</v>
      </c>
      <c r="B1676" s="1">
        <v>45496</v>
      </c>
      <c r="C1676" s="1" t="str">
        <f>TEXT(RetailStore[[#This Row],[Date]],"mmm")</f>
        <v>Jul</v>
      </c>
      <c r="D1676">
        <v>2024</v>
      </c>
      <c r="E1676" t="s">
        <v>1689</v>
      </c>
      <c r="F1676" t="s">
        <v>11</v>
      </c>
      <c r="G1676">
        <v>51</v>
      </c>
      <c r="H1676" t="s">
        <v>20</v>
      </c>
      <c r="I1676">
        <v>4</v>
      </c>
      <c r="J1676">
        <v>260</v>
      </c>
      <c r="K1676">
        <v>1040</v>
      </c>
      <c r="L16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77" spans="1:12" x14ac:dyDescent="0.3">
      <c r="A1677">
        <v>1676</v>
      </c>
      <c r="B1677" s="1">
        <v>45528</v>
      </c>
      <c r="C1677" s="1" t="str">
        <f>TEXT(RetailStore[[#This Row],[Date]],"mmm")</f>
        <v>Aug</v>
      </c>
      <c r="D1677">
        <v>2024</v>
      </c>
      <c r="E1677" t="s">
        <v>1690</v>
      </c>
      <c r="F1677" t="s">
        <v>11</v>
      </c>
      <c r="G1677">
        <v>23</v>
      </c>
      <c r="H1677" t="s">
        <v>20</v>
      </c>
      <c r="I1677">
        <v>4</v>
      </c>
      <c r="J1677">
        <v>202</v>
      </c>
      <c r="K1677">
        <v>808</v>
      </c>
      <c r="L16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78" spans="1:12" x14ac:dyDescent="0.3">
      <c r="A1678">
        <v>1677</v>
      </c>
      <c r="B1678" s="1">
        <v>45650</v>
      </c>
      <c r="C1678" s="1" t="str">
        <f>TEXT(RetailStore[[#This Row],[Date]],"mmm")</f>
        <v>Dec</v>
      </c>
      <c r="D1678">
        <v>2024</v>
      </c>
      <c r="E1678" t="s">
        <v>1691</v>
      </c>
      <c r="F1678" t="s">
        <v>18</v>
      </c>
      <c r="G1678">
        <v>43</v>
      </c>
      <c r="H1678" t="s">
        <v>12</v>
      </c>
      <c r="I1678">
        <v>2</v>
      </c>
      <c r="J1678">
        <v>237</v>
      </c>
      <c r="K1678">
        <v>474</v>
      </c>
      <c r="L16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79" spans="1:12" x14ac:dyDescent="0.3">
      <c r="A1679">
        <v>1678</v>
      </c>
      <c r="B1679" s="1">
        <v>45419</v>
      </c>
      <c r="C1679" s="1" t="str">
        <f>TEXT(RetailStore[[#This Row],[Date]],"mmm")</f>
        <v>May</v>
      </c>
      <c r="D1679">
        <v>2024</v>
      </c>
      <c r="E1679" t="s">
        <v>1692</v>
      </c>
      <c r="F1679" t="s">
        <v>11</v>
      </c>
      <c r="G1679">
        <v>57</v>
      </c>
      <c r="H1679" t="s">
        <v>12</v>
      </c>
      <c r="I1679">
        <v>4</v>
      </c>
      <c r="J1679">
        <v>259</v>
      </c>
      <c r="K1679">
        <v>1036</v>
      </c>
      <c r="L16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80" spans="1:12" x14ac:dyDescent="0.3">
      <c r="A1680">
        <v>1679</v>
      </c>
      <c r="B1680" s="1">
        <v>45488</v>
      </c>
      <c r="C1680" s="1" t="str">
        <f>TEXT(RetailStore[[#This Row],[Date]],"mmm")</f>
        <v>Jul</v>
      </c>
      <c r="D1680">
        <v>2024</v>
      </c>
      <c r="E1680" t="s">
        <v>1693</v>
      </c>
      <c r="F1680" t="s">
        <v>11</v>
      </c>
      <c r="G1680">
        <v>62</v>
      </c>
      <c r="H1680" t="s">
        <v>12</v>
      </c>
      <c r="I1680">
        <v>1</v>
      </c>
      <c r="J1680">
        <v>226</v>
      </c>
      <c r="K1680">
        <v>226</v>
      </c>
      <c r="L16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81" spans="1:12" x14ac:dyDescent="0.3">
      <c r="A1681">
        <v>1680</v>
      </c>
      <c r="B1681" s="1">
        <v>45649</v>
      </c>
      <c r="C1681" s="1" t="str">
        <f>TEXT(RetailStore[[#This Row],[Date]],"mmm")</f>
        <v>Dec</v>
      </c>
      <c r="D1681">
        <v>2024</v>
      </c>
      <c r="E1681" t="s">
        <v>1694</v>
      </c>
      <c r="F1681" t="s">
        <v>11</v>
      </c>
      <c r="G1681">
        <v>33</v>
      </c>
      <c r="H1681" t="s">
        <v>15</v>
      </c>
      <c r="I1681">
        <v>3</v>
      </c>
      <c r="J1681">
        <v>476</v>
      </c>
      <c r="K1681">
        <v>1428</v>
      </c>
      <c r="L16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82" spans="1:12" x14ac:dyDescent="0.3">
      <c r="A1682">
        <v>1681</v>
      </c>
      <c r="B1682" s="1">
        <v>45613</v>
      </c>
      <c r="C1682" s="1" t="str">
        <f>TEXT(RetailStore[[#This Row],[Date]],"mmm")</f>
        <v>Nov</v>
      </c>
      <c r="D1682">
        <v>2024</v>
      </c>
      <c r="E1682" t="s">
        <v>1695</v>
      </c>
      <c r="F1682" t="s">
        <v>18</v>
      </c>
      <c r="G1682">
        <v>60</v>
      </c>
      <c r="H1682" t="s">
        <v>15</v>
      </c>
      <c r="I1682">
        <v>2</v>
      </c>
      <c r="J1682">
        <v>490</v>
      </c>
      <c r="K1682">
        <v>980</v>
      </c>
      <c r="L16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83" spans="1:12" x14ac:dyDescent="0.3">
      <c r="A1683">
        <v>1682</v>
      </c>
      <c r="B1683" s="1">
        <v>45544</v>
      </c>
      <c r="C1683" s="1" t="str">
        <f>TEXT(RetailStore[[#This Row],[Date]],"mmm")</f>
        <v>Sep</v>
      </c>
      <c r="D1683">
        <v>2024</v>
      </c>
      <c r="E1683" t="s">
        <v>1696</v>
      </c>
      <c r="F1683" t="s">
        <v>18</v>
      </c>
      <c r="G1683">
        <v>53</v>
      </c>
      <c r="H1683" t="s">
        <v>15</v>
      </c>
      <c r="I1683">
        <v>3</v>
      </c>
      <c r="J1683">
        <v>64</v>
      </c>
      <c r="K1683">
        <v>192</v>
      </c>
      <c r="L16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84" spans="1:12" x14ac:dyDescent="0.3">
      <c r="A1684">
        <v>1683</v>
      </c>
      <c r="B1684" s="1">
        <v>45345</v>
      </c>
      <c r="C1684" s="1" t="str">
        <f>TEXT(RetailStore[[#This Row],[Date]],"mmm")</f>
        <v>Feb</v>
      </c>
      <c r="D1684">
        <v>2024</v>
      </c>
      <c r="E1684" t="s">
        <v>1697</v>
      </c>
      <c r="F1684" t="s">
        <v>18</v>
      </c>
      <c r="G1684">
        <v>44</v>
      </c>
      <c r="H1684" t="s">
        <v>20</v>
      </c>
      <c r="I1684">
        <v>2</v>
      </c>
      <c r="J1684">
        <v>154</v>
      </c>
      <c r="K1684">
        <v>308</v>
      </c>
      <c r="L16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85" spans="1:12" x14ac:dyDescent="0.3">
      <c r="A1685">
        <v>1684</v>
      </c>
      <c r="B1685" s="1">
        <v>45398</v>
      </c>
      <c r="C1685" s="1" t="str">
        <f>TEXT(RetailStore[[#This Row],[Date]],"mmm")</f>
        <v>Apr</v>
      </c>
      <c r="D1685">
        <v>2024</v>
      </c>
      <c r="E1685" t="s">
        <v>1698</v>
      </c>
      <c r="F1685" t="s">
        <v>11</v>
      </c>
      <c r="G1685">
        <v>47</v>
      </c>
      <c r="H1685" t="s">
        <v>15</v>
      </c>
      <c r="I1685">
        <v>1</v>
      </c>
      <c r="J1685">
        <v>352</v>
      </c>
      <c r="K1685">
        <v>352</v>
      </c>
      <c r="L16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86" spans="1:12" x14ac:dyDescent="0.3">
      <c r="A1686">
        <v>1685</v>
      </c>
      <c r="B1686" s="1">
        <v>45647</v>
      </c>
      <c r="C1686" s="1" t="str">
        <f>TEXT(RetailStore[[#This Row],[Date]],"mmm")</f>
        <v>Dec</v>
      </c>
      <c r="D1686">
        <v>2024</v>
      </c>
      <c r="E1686" t="s">
        <v>1699</v>
      </c>
      <c r="F1686" t="s">
        <v>18</v>
      </c>
      <c r="G1686">
        <v>42</v>
      </c>
      <c r="H1686" t="s">
        <v>20</v>
      </c>
      <c r="I1686">
        <v>4</v>
      </c>
      <c r="J1686">
        <v>463</v>
      </c>
      <c r="K1686">
        <v>1852</v>
      </c>
      <c r="L16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87" spans="1:12" x14ac:dyDescent="0.3">
      <c r="A1687">
        <v>1686</v>
      </c>
      <c r="B1687" s="1">
        <v>45391</v>
      </c>
      <c r="C1687" s="1" t="str">
        <f>TEXT(RetailStore[[#This Row],[Date]],"mmm")</f>
        <v>Apr</v>
      </c>
      <c r="D1687">
        <v>2024</v>
      </c>
      <c r="E1687" t="s">
        <v>1700</v>
      </c>
      <c r="F1687" t="s">
        <v>18</v>
      </c>
      <c r="G1687">
        <v>20</v>
      </c>
      <c r="H1687" t="s">
        <v>15</v>
      </c>
      <c r="I1687">
        <v>3</v>
      </c>
      <c r="J1687">
        <v>83</v>
      </c>
      <c r="K1687">
        <v>249</v>
      </c>
      <c r="L16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88" spans="1:12" x14ac:dyDescent="0.3">
      <c r="A1688">
        <v>1687</v>
      </c>
      <c r="B1688" s="1">
        <v>45655</v>
      </c>
      <c r="C1688" s="1" t="str">
        <f>TEXT(RetailStore[[#This Row],[Date]],"mmm")</f>
        <v>Dec</v>
      </c>
      <c r="D1688">
        <v>2024</v>
      </c>
      <c r="E1688" t="s">
        <v>1701</v>
      </c>
      <c r="F1688" t="s">
        <v>11</v>
      </c>
      <c r="G1688">
        <v>38</v>
      </c>
      <c r="H1688" t="s">
        <v>12</v>
      </c>
      <c r="I1688">
        <v>4</v>
      </c>
      <c r="J1688">
        <v>273</v>
      </c>
      <c r="K1688">
        <v>1092</v>
      </c>
      <c r="L16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89" spans="1:12" x14ac:dyDescent="0.3">
      <c r="A1689">
        <v>1688</v>
      </c>
      <c r="B1689" s="1">
        <v>45528</v>
      </c>
      <c r="C1689" s="1" t="str">
        <f>TEXT(RetailStore[[#This Row],[Date]],"mmm")</f>
        <v>Aug</v>
      </c>
      <c r="D1689">
        <v>2024</v>
      </c>
      <c r="E1689" t="s">
        <v>1702</v>
      </c>
      <c r="F1689" t="s">
        <v>11</v>
      </c>
      <c r="G1689">
        <v>23</v>
      </c>
      <c r="H1689" t="s">
        <v>12</v>
      </c>
      <c r="I1689">
        <v>2</v>
      </c>
      <c r="J1689">
        <v>390</v>
      </c>
      <c r="K1689">
        <v>780</v>
      </c>
      <c r="L16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90" spans="1:12" x14ac:dyDescent="0.3">
      <c r="A1690">
        <v>1689</v>
      </c>
      <c r="B1690" s="1">
        <v>45516</v>
      </c>
      <c r="C1690" s="1" t="str">
        <f>TEXT(RetailStore[[#This Row],[Date]],"mmm")</f>
        <v>Aug</v>
      </c>
      <c r="D1690">
        <v>2024</v>
      </c>
      <c r="E1690" t="s">
        <v>1703</v>
      </c>
      <c r="F1690" t="s">
        <v>11</v>
      </c>
      <c r="G1690">
        <v>48</v>
      </c>
      <c r="H1690" t="s">
        <v>20</v>
      </c>
      <c r="I1690">
        <v>2</v>
      </c>
      <c r="J1690">
        <v>112</v>
      </c>
      <c r="K1690">
        <v>224</v>
      </c>
      <c r="L16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91" spans="1:12" x14ac:dyDescent="0.3">
      <c r="A1691">
        <v>1690</v>
      </c>
      <c r="B1691" s="1">
        <v>45301</v>
      </c>
      <c r="C1691" s="1" t="str">
        <f>TEXT(RetailStore[[#This Row],[Date]],"mmm")</f>
        <v>Jan</v>
      </c>
      <c r="D1691">
        <v>2024</v>
      </c>
      <c r="E1691" t="s">
        <v>1704</v>
      </c>
      <c r="F1691" t="s">
        <v>11</v>
      </c>
      <c r="G1691">
        <v>29</v>
      </c>
      <c r="H1691" t="s">
        <v>20</v>
      </c>
      <c r="I1691">
        <v>1</v>
      </c>
      <c r="J1691">
        <v>298</v>
      </c>
      <c r="K1691">
        <v>298</v>
      </c>
      <c r="L16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92" spans="1:12" x14ac:dyDescent="0.3">
      <c r="A1692">
        <v>1691</v>
      </c>
      <c r="B1692" s="1">
        <v>45492</v>
      </c>
      <c r="C1692" s="1" t="str">
        <f>TEXT(RetailStore[[#This Row],[Date]],"mmm")</f>
        <v>Jul</v>
      </c>
      <c r="D1692">
        <v>2024</v>
      </c>
      <c r="E1692" t="s">
        <v>1705</v>
      </c>
      <c r="F1692" t="s">
        <v>11</v>
      </c>
      <c r="G1692">
        <v>22</v>
      </c>
      <c r="H1692" t="s">
        <v>12</v>
      </c>
      <c r="I1692">
        <v>1</v>
      </c>
      <c r="J1692">
        <v>371</v>
      </c>
      <c r="K1692">
        <v>371</v>
      </c>
      <c r="L16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93" spans="1:12" x14ac:dyDescent="0.3">
      <c r="A1693">
        <v>1692</v>
      </c>
      <c r="B1693" s="1">
        <v>45431</v>
      </c>
      <c r="C1693" s="1" t="str">
        <f>TEXT(RetailStore[[#This Row],[Date]],"mmm")</f>
        <v>May</v>
      </c>
      <c r="D1693">
        <v>2024</v>
      </c>
      <c r="E1693" t="s">
        <v>1706</v>
      </c>
      <c r="F1693" t="s">
        <v>11</v>
      </c>
      <c r="G1693">
        <v>46</v>
      </c>
      <c r="H1693" t="s">
        <v>20</v>
      </c>
      <c r="I1693">
        <v>2</v>
      </c>
      <c r="J1693">
        <v>135</v>
      </c>
      <c r="K1693">
        <v>270</v>
      </c>
      <c r="L16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694" spans="1:12" x14ac:dyDescent="0.3">
      <c r="A1694">
        <v>1693</v>
      </c>
      <c r="B1694" s="1">
        <v>45657</v>
      </c>
      <c r="C1694" s="1" t="str">
        <f>TEXT(RetailStore[[#This Row],[Date]],"mmm")</f>
        <v>Dec</v>
      </c>
      <c r="D1694">
        <v>2024</v>
      </c>
      <c r="E1694" t="s">
        <v>1707</v>
      </c>
      <c r="F1694" t="s">
        <v>11</v>
      </c>
      <c r="G1694">
        <v>61</v>
      </c>
      <c r="H1694" t="s">
        <v>12</v>
      </c>
      <c r="I1694">
        <v>2</v>
      </c>
      <c r="J1694">
        <v>251</v>
      </c>
      <c r="K1694">
        <v>502</v>
      </c>
      <c r="L16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95" spans="1:12" x14ac:dyDescent="0.3">
      <c r="A1695">
        <v>1694</v>
      </c>
      <c r="B1695" s="1">
        <v>45648</v>
      </c>
      <c r="C1695" s="1" t="str">
        <f>TEXT(RetailStore[[#This Row],[Date]],"mmm")</f>
        <v>Dec</v>
      </c>
      <c r="D1695">
        <v>2024</v>
      </c>
      <c r="E1695" t="s">
        <v>1708</v>
      </c>
      <c r="F1695" t="s">
        <v>11</v>
      </c>
      <c r="G1695">
        <v>58</v>
      </c>
      <c r="H1695" t="s">
        <v>12</v>
      </c>
      <c r="I1695">
        <v>1</v>
      </c>
      <c r="J1695">
        <v>224</v>
      </c>
      <c r="K1695">
        <v>224</v>
      </c>
      <c r="L16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96" spans="1:12" x14ac:dyDescent="0.3">
      <c r="A1696">
        <v>1695</v>
      </c>
      <c r="B1696" s="1">
        <v>45645</v>
      </c>
      <c r="C1696" s="1" t="str">
        <f>TEXT(RetailStore[[#This Row],[Date]],"mmm")</f>
        <v>Dec</v>
      </c>
      <c r="D1696">
        <v>2024</v>
      </c>
      <c r="E1696" t="s">
        <v>1709</v>
      </c>
      <c r="F1696" t="s">
        <v>18</v>
      </c>
      <c r="G1696">
        <v>46</v>
      </c>
      <c r="H1696" t="s">
        <v>15</v>
      </c>
      <c r="I1696">
        <v>1</v>
      </c>
      <c r="J1696">
        <v>49</v>
      </c>
      <c r="K1696">
        <v>49</v>
      </c>
      <c r="L16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97" spans="1:12" x14ac:dyDescent="0.3">
      <c r="A1697">
        <v>1696</v>
      </c>
      <c r="B1697" s="1">
        <v>45485</v>
      </c>
      <c r="C1697" s="1" t="str">
        <f>TEXT(RetailStore[[#This Row],[Date]],"mmm")</f>
        <v>Jul</v>
      </c>
      <c r="D1697">
        <v>2024</v>
      </c>
      <c r="E1697" t="s">
        <v>1710</v>
      </c>
      <c r="F1697" t="s">
        <v>11</v>
      </c>
      <c r="G1697">
        <v>33</v>
      </c>
      <c r="H1697" t="s">
        <v>20</v>
      </c>
      <c r="I1697">
        <v>2</v>
      </c>
      <c r="J1697">
        <v>127</v>
      </c>
      <c r="K1697">
        <v>254</v>
      </c>
      <c r="L16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698" spans="1:12" x14ac:dyDescent="0.3">
      <c r="A1698">
        <v>1697</v>
      </c>
      <c r="B1698" s="1">
        <v>45338</v>
      </c>
      <c r="C1698" s="1" t="str">
        <f>TEXT(RetailStore[[#This Row],[Date]],"mmm")</f>
        <v>Feb</v>
      </c>
      <c r="D1698">
        <v>2024</v>
      </c>
      <c r="E1698" t="s">
        <v>1711</v>
      </c>
      <c r="F1698" t="s">
        <v>11</v>
      </c>
      <c r="G1698">
        <v>44</v>
      </c>
      <c r="H1698" t="s">
        <v>15</v>
      </c>
      <c r="I1698">
        <v>1</v>
      </c>
      <c r="J1698">
        <v>197</v>
      </c>
      <c r="K1698">
        <v>197</v>
      </c>
      <c r="L16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699" spans="1:12" x14ac:dyDescent="0.3">
      <c r="A1699">
        <v>1698</v>
      </c>
      <c r="B1699" s="1">
        <v>45390</v>
      </c>
      <c r="C1699" s="1" t="str">
        <f>TEXT(RetailStore[[#This Row],[Date]],"mmm")</f>
        <v>Apr</v>
      </c>
      <c r="D1699">
        <v>2024</v>
      </c>
      <c r="E1699" t="s">
        <v>1712</v>
      </c>
      <c r="F1699" t="s">
        <v>11</v>
      </c>
      <c r="G1699">
        <v>32</v>
      </c>
      <c r="H1699" t="s">
        <v>15</v>
      </c>
      <c r="I1699">
        <v>2</v>
      </c>
      <c r="J1699">
        <v>395</v>
      </c>
      <c r="K1699">
        <v>790</v>
      </c>
      <c r="L16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00" spans="1:12" x14ac:dyDescent="0.3">
      <c r="A1700">
        <v>1699</v>
      </c>
      <c r="B1700" s="1">
        <v>45377</v>
      </c>
      <c r="C1700" s="1" t="str">
        <f>TEXT(RetailStore[[#This Row],[Date]],"mmm")</f>
        <v>Mar</v>
      </c>
      <c r="D1700">
        <v>2024</v>
      </c>
      <c r="E1700" t="s">
        <v>1713</v>
      </c>
      <c r="F1700" t="s">
        <v>11</v>
      </c>
      <c r="G1700">
        <v>44</v>
      </c>
      <c r="H1700" t="s">
        <v>12</v>
      </c>
      <c r="I1700">
        <v>1</v>
      </c>
      <c r="J1700">
        <v>442</v>
      </c>
      <c r="K1700">
        <v>442</v>
      </c>
      <c r="L17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01" spans="1:12" x14ac:dyDescent="0.3">
      <c r="A1701">
        <v>1700</v>
      </c>
      <c r="B1701" s="1">
        <v>45459</v>
      </c>
      <c r="C1701" s="1" t="str">
        <f>TEXT(RetailStore[[#This Row],[Date]],"mmm")</f>
        <v>Jun</v>
      </c>
      <c r="D1701">
        <v>2024</v>
      </c>
      <c r="E1701" t="s">
        <v>1714</v>
      </c>
      <c r="F1701" t="s">
        <v>18</v>
      </c>
      <c r="G1701">
        <v>53</v>
      </c>
      <c r="H1701" t="s">
        <v>12</v>
      </c>
      <c r="I1701">
        <v>2</v>
      </c>
      <c r="J1701">
        <v>344</v>
      </c>
      <c r="K1701">
        <v>688</v>
      </c>
      <c r="L17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02" spans="1:12" x14ac:dyDescent="0.3">
      <c r="A1702">
        <v>1701</v>
      </c>
      <c r="B1702" s="1">
        <v>45398</v>
      </c>
      <c r="C1702" s="1" t="str">
        <f>TEXT(RetailStore[[#This Row],[Date]],"mmm")</f>
        <v>Apr</v>
      </c>
      <c r="D1702">
        <v>2024</v>
      </c>
      <c r="E1702" t="s">
        <v>1715</v>
      </c>
      <c r="F1702" t="s">
        <v>18</v>
      </c>
      <c r="G1702">
        <v>45</v>
      </c>
      <c r="H1702" t="s">
        <v>15</v>
      </c>
      <c r="I1702">
        <v>2</v>
      </c>
      <c r="J1702">
        <v>134</v>
      </c>
      <c r="K1702">
        <v>268</v>
      </c>
      <c r="L17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03" spans="1:12" x14ac:dyDescent="0.3">
      <c r="A1703">
        <v>1702</v>
      </c>
      <c r="B1703" s="1">
        <v>45346</v>
      </c>
      <c r="C1703" s="1" t="str">
        <f>TEXT(RetailStore[[#This Row],[Date]],"mmm")</f>
        <v>Feb</v>
      </c>
      <c r="D1703">
        <v>2024</v>
      </c>
      <c r="E1703" t="s">
        <v>1716</v>
      </c>
      <c r="F1703" t="s">
        <v>18</v>
      </c>
      <c r="G1703">
        <v>38</v>
      </c>
      <c r="H1703" t="s">
        <v>15</v>
      </c>
      <c r="I1703">
        <v>1</v>
      </c>
      <c r="J1703">
        <v>230</v>
      </c>
      <c r="K1703">
        <v>230</v>
      </c>
      <c r="L17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04" spans="1:12" x14ac:dyDescent="0.3">
      <c r="A1704">
        <v>1703</v>
      </c>
      <c r="B1704" s="1">
        <v>45626</v>
      </c>
      <c r="C1704" s="1" t="str">
        <f>TEXT(RetailStore[[#This Row],[Date]],"mmm")</f>
        <v>Nov</v>
      </c>
      <c r="D1704">
        <v>2024</v>
      </c>
      <c r="E1704" t="s">
        <v>1717</v>
      </c>
      <c r="F1704" t="s">
        <v>18</v>
      </c>
      <c r="G1704">
        <v>18</v>
      </c>
      <c r="H1704" t="s">
        <v>20</v>
      </c>
      <c r="I1704">
        <v>2</v>
      </c>
      <c r="J1704">
        <v>259</v>
      </c>
      <c r="K1704">
        <v>518</v>
      </c>
      <c r="L17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05" spans="1:12" x14ac:dyDescent="0.3">
      <c r="A1705">
        <v>1704</v>
      </c>
      <c r="B1705" s="1">
        <v>45404</v>
      </c>
      <c r="C1705" s="1" t="str">
        <f>TEXT(RetailStore[[#This Row],[Date]],"mmm")</f>
        <v>Apr</v>
      </c>
      <c r="D1705">
        <v>2024</v>
      </c>
      <c r="E1705" t="s">
        <v>1718</v>
      </c>
      <c r="F1705" t="s">
        <v>11</v>
      </c>
      <c r="G1705">
        <v>60</v>
      </c>
      <c r="H1705" t="s">
        <v>20</v>
      </c>
      <c r="I1705">
        <v>3</v>
      </c>
      <c r="J1705">
        <v>47</v>
      </c>
      <c r="K1705">
        <v>141</v>
      </c>
      <c r="L17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06" spans="1:12" x14ac:dyDescent="0.3">
      <c r="A1706">
        <v>1705</v>
      </c>
      <c r="B1706" s="1">
        <v>45326</v>
      </c>
      <c r="C1706" s="1" t="str">
        <f>TEXT(RetailStore[[#This Row],[Date]],"mmm")</f>
        <v>Feb</v>
      </c>
      <c r="D1706">
        <v>2024</v>
      </c>
      <c r="E1706" t="s">
        <v>1719</v>
      </c>
      <c r="F1706" t="s">
        <v>11</v>
      </c>
      <c r="G1706">
        <v>44</v>
      </c>
      <c r="H1706" t="s">
        <v>20</v>
      </c>
      <c r="I1706">
        <v>4</v>
      </c>
      <c r="J1706">
        <v>77</v>
      </c>
      <c r="K1706">
        <v>308</v>
      </c>
      <c r="L17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07" spans="1:12" x14ac:dyDescent="0.3">
      <c r="A1707">
        <v>1706</v>
      </c>
      <c r="B1707" s="1">
        <v>45656</v>
      </c>
      <c r="C1707" s="1" t="str">
        <f>TEXT(RetailStore[[#This Row],[Date]],"mmm")</f>
        <v>Dec</v>
      </c>
      <c r="D1707">
        <v>2024</v>
      </c>
      <c r="E1707" t="s">
        <v>1720</v>
      </c>
      <c r="F1707" t="s">
        <v>11</v>
      </c>
      <c r="G1707">
        <v>34</v>
      </c>
      <c r="H1707" t="s">
        <v>15</v>
      </c>
      <c r="I1707">
        <v>3</v>
      </c>
      <c r="J1707">
        <v>348</v>
      </c>
      <c r="K1707">
        <v>1044</v>
      </c>
      <c r="L17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08" spans="1:12" x14ac:dyDescent="0.3">
      <c r="A1708">
        <v>1707</v>
      </c>
      <c r="B1708" s="1">
        <v>45648</v>
      </c>
      <c r="C1708" s="1" t="str">
        <f>TEXT(RetailStore[[#This Row],[Date]],"mmm")</f>
        <v>Dec</v>
      </c>
      <c r="D1708">
        <v>2024</v>
      </c>
      <c r="E1708" t="s">
        <v>1721</v>
      </c>
      <c r="F1708" t="s">
        <v>18</v>
      </c>
      <c r="G1708">
        <v>61</v>
      </c>
      <c r="H1708" t="s">
        <v>12</v>
      </c>
      <c r="I1708">
        <v>2</v>
      </c>
      <c r="J1708">
        <v>195</v>
      </c>
      <c r="K1708">
        <v>390</v>
      </c>
      <c r="L17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09" spans="1:12" x14ac:dyDescent="0.3">
      <c r="A1709">
        <v>1708</v>
      </c>
      <c r="B1709" s="1">
        <v>45381</v>
      </c>
      <c r="C1709" s="1" t="str">
        <f>TEXT(RetailStore[[#This Row],[Date]],"mmm")</f>
        <v>Mar</v>
      </c>
      <c r="D1709">
        <v>2024</v>
      </c>
      <c r="E1709" t="s">
        <v>1722</v>
      </c>
      <c r="F1709" t="s">
        <v>18</v>
      </c>
      <c r="G1709">
        <v>60</v>
      </c>
      <c r="H1709" t="s">
        <v>20</v>
      </c>
      <c r="I1709">
        <v>1</v>
      </c>
      <c r="J1709">
        <v>196</v>
      </c>
      <c r="K1709">
        <v>196</v>
      </c>
      <c r="L17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10" spans="1:12" x14ac:dyDescent="0.3">
      <c r="A1710">
        <v>1709</v>
      </c>
      <c r="B1710" s="1">
        <v>45301</v>
      </c>
      <c r="C1710" s="1" t="str">
        <f>TEXT(RetailStore[[#This Row],[Date]],"mmm")</f>
        <v>Jan</v>
      </c>
      <c r="D1710">
        <v>2024</v>
      </c>
      <c r="E1710" t="s">
        <v>1723</v>
      </c>
      <c r="F1710" t="s">
        <v>18</v>
      </c>
      <c r="G1710">
        <v>42</v>
      </c>
      <c r="H1710" t="s">
        <v>12</v>
      </c>
      <c r="I1710">
        <v>2</v>
      </c>
      <c r="J1710">
        <v>282</v>
      </c>
      <c r="K1710">
        <v>564</v>
      </c>
      <c r="L17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11" spans="1:12" x14ac:dyDescent="0.3">
      <c r="A1711">
        <v>1710</v>
      </c>
      <c r="B1711" s="1">
        <v>45592</v>
      </c>
      <c r="C1711" s="1" t="str">
        <f>TEXT(RetailStore[[#This Row],[Date]],"mmm")</f>
        <v>Oct</v>
      </c>
      <c r="D1711">
        <v>2024</v>
      </c>
      <c r="E1711" t="s">
        <v>1724</v>
      </c>
      <c r="F1711" t="s">
        <v>11</v>
      </c>
      <c r="G1711">
        <v>32</v>
      </c>
      <c r="H1711" t="s">
        <v>15</v>
      </c>
      <c r="I1711">
        <v>1</v>
      </c>
      <c r="J1711">
        <v>183</v>
      </c>
      <c r="K1711">
        <v>183</v>
      </c>
      <c r="L17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12" spans="1:12" x14ac:dyDescent="0.3">
      <c r="A1712">
        <v>1711</v>
      </c>
      <c r="B1712" s="1">
        <v>45413</v>
      </c>
      <c r="C1712" s="1" t="str">
        <f>TEXT(RetailStore[[#This Row],[Date]],"mmm")</f>
        <v>May</v>
      </c>
      <c r="D1712">
        <v>2024</v>
      </c>
      <c r="E1712" t="s">
        <v>1725</v>
      </c>
      <c r="F1712" t="s">
        <v>18</v>
      </c>
      <c r="G1712">
        <v>33</v>
      </c>
      <c r="H1712" t="s">
        <v>12</v>
      </c>
      <c r="I1712">
        <v>1</v>
      </c>
      <c r="J1712">
        <v>55</v>
      </c>
      <c r="K1712">
        <v>55</v>
      </c>
      <c r="L17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13" spans="1:12" x14ac:dyDescent="0.3">
      <c r="A1713">
        <v>1712</v>
      </c>
      <c r="B1713" s="1">
        <v>45362</v>
      </c>
      <c r="C1713" s="1" t="str">
        <f>TEXT(RetailStore[[#This Row],[Date]],"mmm")</f>
        <v>Mar</v>
      </c>
      <c r="D1713">
        <v>2024</v>
      </c>
      <c r="E1713" t="s">
        <v>1726</v>
      </c>
      <c r="F1713" t="s">
        <v>18</v>
      </c>
      <c r="G1713">
        <v>49</v>
      </c>
      <c r="H1713" t="s">
        <v>20</v>
      </c>
      <c r="I1713">
        <v>2</v>
      </c>
      <c r="J1713">
        <v>102</v>
      </c>
      <c r="K1713">
        <v>204</v>
      </c>
      <c r="L17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14" spans="1:12" x14ac:dyDescent="0.3">
      <c r="A1714">
        <v>1713</v>
      </c>
      <c r="B1714" s="1">
        <v>45484</v>
      </c>
      <c r="C1714" s="1" t="str">
        <f>TEXT(RetailStore[[#This Row],[Date]],"mmm")</f>
        <v>Jul</v>
      </c>
      <c r="D1714">
        <v>2024</v>
      </c>
      <c r="E1714" t="s">
        <v>1727</v>
      </c>
      <c r="F1714" t="s">
        <v>11</v>
      </c>
      <c r="G1714">
        <v>59</v>
      </c>
      <c r="H1714" t="s">
        <v>15</v>
      </c>
      <c r="I1714">
        <v>2</v>
      </c>
      <c r="J1714">
        <v>497</v>
      </c>
      <c r="K1714">
        <v>994</v>
      </c>
      <c r="L17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15" spans="1:12" x14ac:dyDescent="0.3">
      <c r="A1715">
        <v>1714</v>
      </c>
      <c r="B1715" s="1">
        <v>45598</v>
      </c>
      <c r="C1715" s="1" t="str">
        <f>TEXT(RetailStore[[#This Row],[Date]],"mmm")</f>
        <v>Nov</v>
      </c>
      <c r="D1715">
        <v>2024</v>
      </c>
      <c r="E1715" t="s">
        <v>1728</v>
      </c>
      <c r="F1715" t="s">
        <v>18</v>
      </c>
      <c r="G1715">
        <v>39</v>
      </c>
      <c r="H1715" t="s">
        <v>15</v>
      </c>
      <c r="I1715">
        <v>3</v>
      </c>
      <c r="J1715">
        <v>187</v>
      </c>
      <c r="K1715">
        <v>561</v>
      </c>
      <c r="L17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16" spans="1:12" x14ac:dyDescent="0.3">
      <c r="A1716">
        <v>1715</v>
      </c>
      <c r="B1716" s="1">
        <v>45621</v>
      </c>
      <c r="C1716" s="1" t="str">
        <f>TEXT(RetailStore[[#This Row],[Date]],"mmm")</f>
        <v>Nov</v>
      </c>
      <c r="D1716">
        <v>2024</v>
      </c>
      <c r="E1716" t="s">
        <v>1729</v>
      </c>
      <c r="F1716" t="s">
        <v>11</v>
      </c>
      <c r="G1716">
        <v>51</v>
      </c>
      <c r="H1716" t="s">
        <v>20</v>
      </c>
      <c r="I1716">
        <v>3</v>
      </c>
      <c r="J1716">
        <v>409</v>
      </c>
      <c r="K1716">
        <v>1227</v>
      </c>
      <c r="L17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17" spans="1:12" x14ac:dyDescent="0.3">
      <c r="A1717">
        <v>1716</v>
      </c>
      <c r="B1717" s="1">
        <v>45304</v>
      </c>
      <c r="C1717" s="1" t="str">
        <f>TEXT(RetailStore[[#This Row],[Date]],"mmm")</f>
        <v>Jan</v>
      </c>
      <c r="D1717">
        <v>2024</v>
      </c>
      <c r="E1717" t="s">
        <v>1730</v>
      </c>
      <c r="F1717" t="s">
        <v>11</v>
      </c>
      <c r="G1717">
        <v>64</v>
      </c>
      <c r="H1717" t="s">
        <v>20</v>
      </c>
      <c r="I1717">
        <v>3</v>
      </c>
      <c r="J1717">
        <v>149</v>
      </c>
      <c r="K1717">
        <v>447</v>
      </c>
      <c r="L17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18" spans="1:12" x14ac:dyDescent="0.3">
      <c r="A1718">
        <v>1717</v>
      </c>
      <c r="B1718" s="1">
        <v>45397</v>
      </c>
      <c r="C1718" s="1" t="str">
        <f>TEXT(RetailStore[[#This Row],[Date]],"mmm")</f>
        <v>Apr</v>
      </c>
      <c r="D1718">
        <v>2024</v>
      </c>
      <c r="E1718" t="s">
        <v>1731</v>
      </c>
      <c r="F1718" t="s">
        <v>11</v>
      </c>
      <c r="G1718">
        <v>60</v>
      </c>
      <c r="H1718" t="s">
        <v>15</v>
      </c>
      <c r="I1718">
        <v>2</v>
      </c>
      <c r="J1718">
        <v>336</v>
      </c>
      <c r="K1718">
        <v>672</v>
      </c>
      <c r="L17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19" spans="1:12" x14ac:dyDescent="0.3">
      <c r="A1719">
        <v>1718</v>
      </c>
      <c r="B1719" s="1">
        <v>45487</v>
      </c>
      <c r="C1719" s="1" t="str">
        <f>TEXT(RetailStore[[#This Row],[Date]],"mmm")</f>
        <v>Jul</v>
      </c>
      <c r="D1719">
        <v>2024</v>
      </c>
      <c r="E1719" t="s">
        <v>1732</v>
      </c>
      <c r="F1719" t="s">
        <v>18</v>
      </c>
      <c r="G1719">
        <v>29</v>
      </c>
      <c r="H1719" t="s">
        <v>20</v>
      </c>
      <c r="I1719">
        <v>1</v>
      </c>
      <c r="J1719">
        <v>58</v>
      </c>
      <c r="K1719">
        <v>58</v>
      </c>
      <c r="L17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20" spans="1:12" x14ac:dyDescent="0.3">
      <c r="A1720">
        <v>1719</v>
      </c>
      <c r="B1720" s="1">
        <v>45543</v>
      </c>
      <c r="C1720" s="1" t="str">
        <f>TEXT(RetailStore[[#This Row],[Date]],"mmm")</f>
        <v>Sep</v>
      </c>
      <c r="D1720">
        <v>2024</v>
      </c>
      <c r="E1720" t="s">
        <v>1733</v>
      </c>
      <c r="F1720" t="s">
        <v>11</v>
      </c>
      <c r="G1720">
        <v>30</v>
      </c>
      <c r="H1720" t="s">
        <v>15</v>
      </c>
      <c r="I1720">
        <v>2</v>
      </c>
      <c r="J1720">
        <v>129</v>
      </c>
      <c r="K1720">
        <v>258</v>
      </c>
      <c r="L17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21" spans="1:12" x14ac:dyDescent="0.3">
      <c r="A1721">
        <v>1720</v>
      </c>
      <c r="B1721" s="1">
        <v>45356</v>
      </c>
      <c r="C1721" s="1" t="str">
        <f>TEXT(RetailStore[[#This Row],[Date]],"mmm")</f>
        <v>Mar</v>
      </c>
      <c r="D1721">
        <v>2024</v>
      </c>
      <c r="E1721" t="s">
        <v>1734</v>
      </c>
      <c r="F1721" t="s">
        <v>11</v>
      </c>
      <c r="G1721">
        <v>29</v>
      </c>
      <c r="H1721" t="s">
        <v>12</v>
      </c>
      <c r="I1721">
        <v>2</v>
      </c>
      <c r="J1721">
        <v>145</v>
      </c>
      <c r="K1721">
        <v>290</v>
      </c>
      <c r="L17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22" spans="1:12" x14ac:dyDescent="0.3">
      <c r="A1722">
        <v>1721</v>
      </c>
      <c r="B1722" s="1">
        <v>45551</v>
      </c>
      <c r="C1722" s="1" t="str">
        <f>TEXT(RetailStore[[#This Row],[Date]],"mmm")</f>
        <v>Sep</v>
      </c>
      <c r="D1722">
        <v>2024</v>
      </c>
      <c r="E1722" t="s">
        <v>1735</v>
      </c>
      <c r="F1722" t="s">
        <v>11</v>
      </c>
      <c r="G1722">
        <v>45</v>
      </c>
      <c r="H1722" t="s">
        <v>12</v>
      </c>
      <c r="I1722">
        <v>4</v>
      </c>
      <c r="J1722">
        <v>184</v>
      </c>
      <c r="K1722">
        <v>736</v>
      </c>
      <c r="L17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23" spans="1:12" x14ac:dyDescent="0.3">
      <c r="A1723">
        <v>1722</v>
      </c>
      <c r="B1723" s="1">
        <v>45376</v>
      </c>
      <c r="C1723" s="1" t="str">
        <f>TEXT(RetailStore[[#This Row],[Date]],"mmm")</f>
        <v>Mar</v>
      </c>
      <c r="D1723">
        <v>2024</v>
      </c>
      <c r="E1723" t="s">
        <v>1736</v>
      </c>
      <c r="F1723" t="s">
        <v>11</v>
      </c>
      <c r="G1723">
        <v>33</v>
      </c>
      <c r="H1723" t="s">
        <v>20</v>
      </c>
      <c r="I1723">
        <v>2</v>
      </c>
      <c r="J1723">
        <v>335</v>
      </c>
      <c r="K1723">
        <v>670</v>
      </c>
      <c r="L17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24" spans="1:12" x14ac:dyDescent="0.3">
      <c r="A1724">
        <v>1723</v>
      </c>
      <c r="B1724" s="1">
        <v>45419</v>
      </c>
      <c r="C1724" s="1" t="str">
        <f>TEXT(RetailStore[[#This Row],[Date]],"mmm")</f>
        <v>May</v>
      </c>
      <c r="D1724">
        <v>2024</v>
      </c>
      <c r="E1724" t="s">
        <v>1737</v>
      </c>
      <c r="F1724" t="s">
        <v>18</v>
      </c>
      <c r="G1724">
        <v>36</v>
      </c>
      <c r="H1724" t="s">
        <v>12</v>
      </c>
      <c r="I1724">
        <v>4</v>
      </c>
      <c r="J1724">
        <v>350</v>
      </c>
      <c r="K1724">
        <v>1400</v>
      </c>
      <c r="L17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25" spans="1:12" x14ac:dyDescent="0.3">
      <c r="A1725">
        <v>1724</v>
      </c>
      <c r="B1725" s="1">
        <v>45395</v>
      </c>
      <c r="C1725" s="1" t="str">
        <f>TEXT(RetailStore[[#This Row],[Date]],"mmm")</f>
        <v>Apr</v>
      </c>
      <c r="D1725">
        <v>2024</v>
      </c>
      <c r="E1725" t="s">
        <v>1738</v>
      </c>
      <c r="F1725" t="s">
        <v>18</v>
      </c>
      <c r="G1725">
        <v>48</v>
      </c>
      <c r="H1725" t="s">
        <v>15</v>
      </c>
      <c r="I1725">
        <v>3</v>
      </c>
      <c r="J1725">
        <v>228</v>
      </c>
      <c r="K1725">
        <v>684</v>
      </c>
      <c r="L17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26" spans="1:12" x14ac:dyDescent="0.3">
      <c r="A1726">
        <v>1725</v>
      </c>
      <c r="B1726" s="1">
        <v>45485</v>
      </c>
      <c r="C1726" s="1" t="str">
        <f>TEXT(RetailStore[[#This Row],[Date]],"mmm")</f>
        <v>Jul</v>
      </c>
      <c r="D1726">
        <v>2024</v>
      </c>
      <c r="E1726" t="s">
        <v>1739</v>
      </c>
      <c r="F1726" t="s">
        <v>11</v>
      </c>
      <c r="G1726">
        <v>48</v>
      </c>
      <c r="H1726" t="s">
        <v>20</v>
      </c>
      <c r="I1726">
        <v>4</v>
      </c>
      <c r="J1726">
        <v>283</v>
      </c>
      <c r="K1726">
        <v>1132</v>
      </c>
      <c r="L17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27" spans="1:12" x14ac:dyDescent="0.3">
      <c r="A1727">
        <v>1726</v>
      </c>
      <c r="B1727" s="1">
        <v>45604</v>
      </c>
      <c r="C1727" s="1" t="str">
        <f>TEXT(RetailStore[[#This Row],[Date]],"mmm")</f>
        <v>Nov</v>
      </c>
      <c r="D1727">
        <v>2024</v>
      </c>
      <c r="E1727" t="s">
        <v>1740</v>
      </c>
      <c r="F1727" t="s">
        <v>18</v>
      </c>
      <c r="G1727">
        <v>27</v>
      </c>
      <c r="H1727" t="s">
        <v>20</v>
      </c>
      <c r="I1727">
        <v>1</v>
      </c>
      <c r="J1727">
        <v>415</v>
      </c>
      <c r="K1727">
        <v>415</v>
      </c>
      <c r="L17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28" spans="1:12" x14ac:dyDescent="0.3">
      <c r="A1728">
        <v>1727</v>
      </c>
      <c r="B1728" s="1">
        <v>45487</v>
      </c>
      <c r="C1728" s="1" t="str">
        <f>TEXT(RetailStore[[#This Row],[Date]],"mmm")</f>
        <v>Jul</v>
      </c>
      <c r="D1728">
        <v>2024</v>
      </c>
      <c r="E1728" t="s">
        <v>1741</v>
      </c>
      <c r="F1728" t="s">
        <v>18</v>
      </c>
      <c r="G1728">
        <v>23</v>
      </c>
      <c r="H1728" t="s">
        <v>20</v>
      </c>
      <c r="I1728">
        <v>2</v>
      </c>
      <c r="J1728">
        <v>308</v>
      </c>
      <c r="K1728">
        <v>616</v>
      </c>
      <c r="L17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29" spans="1:12" x14ac:dyDescent="0.3">
      <c r="A1729">
        <v>1728</v>
      </c>
      <c r="B1729" s="1">
        <v>45381</v>
      </c>
      <c r="C1729" s="1" t="str">
        <f>TEXT(RetailStore[[#This Row],[Date]],"mmm")</f>
        <v>Mar</v>
      </c>
      <c r="D1729">
        <v>2024</v>
      </c>
      <c r="E1729" t="s">
        <v>1742</v>
      </c>
      <c r="F1729" t="s">
        <v>18</v>
      </c>
      <c r="G1729">
        <v>42</v>
      </c>
      <c r="H1729" t="s">
        <v>20</v>
      </c>
      <c r="I1729">
        <v>3</v>
      </c>
      <c r="J1729">
        <v>257</v>
      </c>
      <c r="K1729">
        <v>771</v>
      </c>
      <c r="L17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30" spans="1:12" x14ac:dyDescent="0.3">
      <c r="A1730">
        <v>1729</v>
      </c>
      <c r="B1730" s="1">
        <v>45437</v>
      </c>
      <c r="C1730" s="1" t="str">
        <f>TEXT(RetailStore[[#This Row],[Date]],"mmm")</f>
        <v>May</v>
      </c>
      <c r="D1730">
        <v>2024</v>
      </c>
      <c r="E1730" t="s">
        <v>1743</v>
      </c>
      <c r="F1730" t="s">
        <v>18</v>
      </c>
      <c r="G1730">
        <v>53</v>
      </c>
      <c r="H1730" t="s">
        <v>12</v>
      </c>
      <c r="I1730">
        <v>4</v>
      </c>
      <c r="J1730">
        <v>61</v>
      </c>
      <c r="K1730">
        <v>244</v>
      </c>
      <c r="L17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31" spans="1:12" x14ac:dyDescent="0.3">
      <c r="A1731">
        <v>1730</v>
      </c>
      <c r="B1731" s="1">
        <v>45462</v>
      </c>
      <c r="C1731" s="1" t="str">
        <f>TEXT(RetailStore[[#This Row],[Date]],"mmm")</f>
        <v>Jun</v>
      </c>
      <c r="D1731">
        <v>2024</v>
      </c>
      <c r="E1731" t="s">
        <v>1744</v>
      </c>
      <c r="F1731" t="s">
        <v>11</v>
      </c>
      <c r="G1731">
        <v>63</v>
      </c>
      <c r="H1731" t="s">
        <v>20</v>
      </c>
      <c r="I1731">
        <v>2</v>
      </c>
      <c r="J1731">
        <v>104</v>
      </c>
      <c r="K1731">
        <v>208</v>
      </c>
      <c r="L17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32" spans="1:12" x14ac:dyDescent="0.3">
      <c r="A1732">
        <v>1731</v>
      </c>
      <c r="B1732" s="1">
        <v>45389</v>
      </c>
      <c r="C1732" s="1" t="str">
        <f>TEXT(RetailStore[[#This Row],[Date]],"mmm")</f>
        <v>Apr</v>
      </c>
      <c r="D1732">
        <v>2024</v>
      </c>
      <c r="E1732" t="s">
        <v>1745</v>
      </c>
      <c r="F1732" t="s">
        <v>11</v>
      </c>
      <c r="G1732">
        <v>18</v>
      </c>
      <c r="H1732" t="s">
        <v>12</v>
      </c>
      <c r="I1732">
        <v>3</v>
      </c>
      <c r="J1732">
        <v>276</v>
      </c>
      <c r="K1732">
        <v>828</v>
      </c>
      <c r="L17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33" spans="1:12" x14ac:dyDescent="0.3">
      <c r="A1733">
        <v>1732</v>
      </c>
      <c r="B1733" s="1">
        <v>45499</v>
      </c>
      <c r="C1733" s="1" t="str">
        <f>TEXT(RetailStore[[#This Row],[Date]],"mmm")</f>
        <v>Jul</v>
      </c>
      <c r="D1733">
        <v>2024</v>
      </c>
      <c r="E1733" t="s">
        <v>1746</v>
      </c>
      <c r="F1733" t="s">
        <v>18</v>
      </c>
      <c r="G1733">
        <v>43</v>
      </c>
      <c r="H1733" t="s">
        <v>12</v>
      </c>
      <c r="I1733">
        <v>3</v>
      </c>
      <c r="J1733">
        <v>221</v>
      </c>
      <c r="K1733">
        <v>663</v>
      </c>
      <c r="L17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34" spans="1:12" x14ac:dyDescent="0.3">
      <c r="A1734">
        <v>1733</v>
      </c>
      <c r="B1734" s="1">
        <v>45542</v>
      </c>
      <c r="C1734" s="1" t="str">
        <f>TEXT(RetailStore[[#This Row],[Date]],"mmm")</f>
        <v>Sep</v>
      </c>
      <c r="D1734">
        <v>2024</v>
      </c>
      <c r="E1734" t="s">
        <v>1747</v>
      </c>
      <c r="F1734" t="s">
        <v>18</v>
      </c>
      <c r="G1734">
        <v>59</v>
      </c>
      <c r="H1734" t="s">
        <v>12</v>
      </c>
      <c r="I1734">
        <v>1</v>
      </c>
      <c r="J1734">
        <v>234</v>
      </c>
      <c r="K1734">
        <v>234</v>
      </c>
      <c r="L17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35" spans="1:12" x14ac:dyDescent="0.3">
      <c r="A1735">
        <v>1734</v>
      </c>
      <c r="B1735" s="1">
        <v>45311</v>
      </c>
      <c r="C1735" s="1" t="str">
        <f>TEXT(RetailStore[[#This Row],[Date]],"mmm")</f>
        <v>Jan</v>
      </c>
      <c r="D1735">
        <v>2024</v>
      </c>
      <c r="E1735" t="s">
        <v>1748</v>
      </c>
      <c r="F1735" t="s">
        <v>11</v>
      </c>
      <c r="G1735">
        <v>42</v>
      </c>
      <c r="H1735" t="s">
        <v>12</v>
      </c>
      <c r="I1735">
        <v>2</v>
      </c>
      <c r="J1735">
        <v>124</v>
      </c>
      <c r="K1735">
        <v>248</v>
      </c>
      <c r="L17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36" spans="1:12" x14ac:dyDescent="0.3">
      <c r="A1736">
        <v>1735</v>
      </c>
      <c r="B1736" s="1">
        <v>45515</v>
      </c>
      <c r="C1736" s="1" t="str">
        <f>TEXT(RetailStore[[#This Row],[Date]],"mmm")</f>
        <v>Aug</v>
      </c>
      <c r="D1736">
        <v>2024</v>
      </c>
      <c r="E1736" t="s">
        <v>1749</v>
      </c>
      <c r="F1736" t="s">
        <v>18</v>
      </c>
      <c r="G1736">
        <v>64</v>
      </c>
      <c r="H1736" t="s">
        <v>20</v>
      </c>
      <c r="I1736">
        <v>4</v>
      </c>
      <c r="J1736">
        <v>350</v>
      </c>
      <c r="K1736">
        <v>1400</v>
      </c>
      <c r="L17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37" spans="1:12" x14ac:dyDescent="0.3">
      <c r="A1737">
        <v>1736</v>
      </c>
      <c r="B1737" s="1">
        <v>45644</v>
      </c>
      <c r="C1737" s="1" t="str">
        <f>TEXT(RetailStore[[#This Row],[Date]],"mmm")</f>
        <v>Dec</v>
      </c>
      <c r="D1737">
        <v>2024</v>
      </c>
      <c r="E1737" t="s">
        <v>1750</v>
      </c>
      <c r="F1737" t="s">
        <v>18</v>
      </c>
      <c r="G1737">
        <v>62</v>
      </c>
      <c r="H1737" t="s">
        <v>15</v>
      </c>
      <c r="I1737">
        <v>4</v>
      </c>
      <c r="J1737">
        <v>499</v>
      </c>
      <c r="K1737">
        <v>1996</v>
      </c>
      <c r="L17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38" spans="1:12" x14ac:dyDescent="0.3">
      <c r="A1738">
        <v>1737</v>
      </c>
      <c r="B1738" s="1">
        <v>45509</v>
      </c>
      <c r="C1738" s="1" t="str">
        <f>TEXT(RetailStore[[#This Row],[Date]],"mmm")</f>
        <v>Aug</v>
      </c>
      <c r="D1738">
        <v>2024</v>
      </c>
      <c r="E1738" t="s">
        <v>1751</v>
      </c>
      <c r="F1738" t="s">
        <v>11</v>
      </c>
      <c r="G1738">
        <v>33</v>
      </c>
      <c r="H1738" t="s">
        <v>20</v>
      </c>
      <c r="I1738">
        <v>1</v>
      </c>
      <c r="J1738">
        <v>496</v>
      </c>
      <c r="K1738">
        <v>496</v>
      </c>
      <c r="L17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39" spans="1:12" x14ac:dyDescent="0.3">
      <c r="A1739">
        <v>1738</v>
      </c>
      <c r="B1739" s="1">
        <v>45477</v>
      </c>
      <c r="C1739" s="1" t="str">
        <f>TEXT(RetailStore[[#This Row],[Date]],"mmm")</f>
        <v>Jul</v>
      </c>
      <c r="D1739">
        <v>2024</v>
      </c>
      <c r="E1739" t="s">
        <v>1752</v>
      </c>
      <c r="F1739" t="s">
        <v>11</v>
      </c>
      <c r="G1739">
        <v>62</v>
      </c>
      <c r="H1739" t="s">
        <v>12</v>
      </c>
      <c r="I1739">
        <v>2</v>
      </c>
      <c r="J1739">
        <v>158</v>
      </c>
      <c r="K1739">
        <v>316</v>
      </c>
      <c r="L17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40" spans="1:12" x14ac:dyDescent="0.3">
      <c r="A1740">
        <v>1739</v>
      </c>
      <c r="B1740" s="1">
        <v>45601</v>
      </c>
      <c r="C1740" s="1" t="str">
        <f>TEXT(RetailStore[[#This Row],[Date]],"mmm")</f>
        <v>Nov</v>
      </c>
      <c r="D1740">
        <v>2024</v>
      </c>
      <c r="E1740" t="s">
        <v>1753</v>
      </c>
      <c r="F1740" t="s">
        <v>18</v>
      </c>
      <c r="G1740">
        <v>61</v>
      </c>
      <c r="H1740" t="s">
        <v>15</v>
      </c>
      <c r="I1740">
        <v>3</v>
      </c>
      <c r="J1740">
        <v>151</v>
      </c>
      <c r="K1740">
        <v>453</v>
      </c>
      <c r="L17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41" spans="1:12" x14ac:dyDescent="0.3">
      <c r="A1741">
        <v>1740</v>
      </c>
      <c r="B1741" s="1">
        <v>45600</v>
      </c>
      <c r="C1741" s="1" t="str">
        <f>TEXT(RetailStore[[#This Row],[Date]],"mmm")</f>
        <v>Nov</v>
      </c>
      <c r="D1741">
        <v>2024</v>
      </c>
      <c r="E1741" t="s">
        <v>1754</v>
      </c>
      <c r="F1741" t="s">
        <v>11</v>
      </c>
      <c r="G1741">
        <v>18</v>
      </c>
      <c r="H1741" t="s">
        <v>15</v>
      </c>
      <c r="I1741">
        <v>1</v>
      </c>
      <c r="J1741">
        <v>354</v>
      </c>
      <c r="K1741">
        <v>354</v>
      </c>
      <c r="L17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42" spans="1:12" x14ac:dyDescent="0.3">
      <c r="A1742">
        <v>1741</v>
      </c>
      <c r="B1742" s="1">
        <v>45656</v>
      </c>
      <c r="C1742" s="1" t="str">
        <f>TEXT(RetailStore[[#This Row],[Date]],"mmm")</f>
        <v>Dec</v>
      </c>
      <c r="D1742">
        <v>2024</v>
      </c>
      <c r="E1742" t="s">
        <v>1755</v>
      </c>
      <c r="F1742" t="s">
        <v>18</v>
      </c>
      <c r="G1742">
        <v>43</v>
      </c>
      <c r="H1742" t="s">
        <v>12</v>
      </c>
      <c r="I1742">
        <v>1</v>
      </c>
      <c r="J1742">
        <v>290</v>
      </c>
      <c r="K1742">
        <v>290</v>
      </c>
      <c r="L17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43" spans="1:12" x14ac:dyDescent="0.3">
      <c r="A1743">
        <v>1742</v>
      </c>
      <c r="B1743" s="1">
        <v>45388</v>
      </c>
      <c r="C1743" s="1" t="str">
        <f>TEXT(RetailStore[[#This Row],[Date]],"mmm")</f>
        <v>Apr</v>
      </c>
      <c r="D1743">
        <v>2024</v>
      </c>
      <c r="E1743" t="s">
        <v>1756</v>
      </c>
      <c r="F1743" t="s">
        <v>18</v>
      </c>
      <c r="G1743">
        <v>28</v>
      </c>
      <c r="H1743" t="s">
        <v>20</v>
      </c>
      <c r="I1743">
        <v>3</v>
      </c>
      <c r="J1743">
        <v>379</v>
      </c>
      <c r="K1743">
        <v>1137</v>
      </c>
      <c r="L17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44" spans="1:12" x14ac:dyDescent="0.3">
      <c r="A1744">
        <v>1743</v>
      </c>
      <c r="B1744" s="1">
        <v>45446</v>
      </c>
      <c r="C1744" s="1" t="str">
        <f>TEXT(RetailStore[[#This Row],[Date]],"mmm")</f>
        <v>Jun</v>
      </c>
      <c r="D1744">
        <v>2024</v>
      </c>
      <c r="E1744" t="s">
        <v>1757</v>
      </c>
      <c r="F1744" t="s">
        <v>18</v>
      </c>
      <c r="G1744">
        <v>55</v>
      </c>
      <c r="H1744" t="s">
        <v>20</v>
      </c>
      <c r="I1744">
        <v>4</v>
      </c>
      <c r="J1744">
        <v>410</v>
      </c>
      <c r="K1744">
        <v>1640</v>
      </c>
      <c r="L17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45" spans="1:12" x14ac:dyDescent="0.3">
      <c r="A1745">
        <v>1744</v>
      </c>
      <c r="B1745" s="1">
        <v>45337</v>
      </c>
      <c r="C1745" s="1" t="str">
        <f>TEXT(RetailStore[[#This Row],[Date]],"mmm")</f>
        <v>Feb</v>
      </c>
      <c r="D1745">
        <v>2024</v>
      </c>
      <c r="E1745" t="s">
        <v>1758</v>
      </c>
      <c r="F1745" t="s">
        <v>11</v>
      </c>
      <c r="G1745">
        <v>58</v>
      </c>
      <c r="H1745" t="s">
        <v>12</v>
      </c>
      <c r="I1745">
        <v>3</v>
      </c>
      <c r="J1745">
        <v>441</v>
      </c>
      <c r="K1745">
        <v>1323</v>
      </c>
      <c r="L17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46" spans="1:12" x14ac:dyDescent="0.3">
      <c r="A1746">
        <v>1745</v>
      </c>
      <c r="B1746" s="1">
        <v>45365</v>
      </c>
      <c r="C1746" s="1" t="str">
        <f>TEXT(RetailStore[[#This Row],[Date]],"mmm")</f>
        <v>Mar</v>
      </c>
      <c r="D1746">
        <v>2024</v>
      </c>
      <c r="E1746" t="s">
        <v>1759</v>
      </c>
      <c r="F1746" t="s">
        <v>18</v>
      </c>
      <c r="G1746">
        <v>31</v>
      </c>
      <c r="H1746" t="s">
        <v>12</v>
      </c>
      <c r="I1746">
        <v>4</v>
      </c>
      <c r="J1746">
        <v>382</v>
      </c>
      <c r="K1746">
        <v>1528</v>
      </c>
      <c r="L17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47" spans="1:12" x14ac:dyDescent="0.3">
      <c r="A1747">
        <v>1746</v>
      </c>
      <c r="B1747" s="1">
        <v>45449</v>
      </c>
      <c r="C1747" s="1" t="str">
        <f>TEXT(RetailStore[[#This Row],[Date]],"mmm")</f>
        <v>Jun</v>
      </c>
      <c r="D1747">
        <v>2024</v>
      </c>
      <c r="E1747" t="s">
        <v>1760</v>
      </c>
      <c r="F1747" t="s">
        <v>11</v>
      </c>
      <c r="G1747">
        <v>28</v>
      </c>
      <c r="H1747" t="s">
        <v>20</v>
      </c>
      <c r="I1747">
        <v>1</v>
      </c>
      <c r="J1747">
        <v>74</v>
      </c>
      <c r="K1747">
        <v>74</v>
      </c>
      <c r="L17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48" spans="1:12" x14ac:dyDescent="0.3">
      <c r="A1748">
        <v>1747</v>
      </c>
      <c r="B1748" s="1">
        <v>45327</v>
      </c>
      <c r="C1748" s="1" t="str">
        <f>TEXT(RetailStore[[#This Row],[Date]],"mmm")</f>
        <v>Feb</v>
      </c>
      <c r="D1748">
        <v>2024</v>
      </c>
      <c r="E1748" t="s">
        <v>1761</v>
      </c>
      <c r="F1748" t="s">
        <v>18</v>
      </c>
      <c r="G1748">
        <v>51</v>
      </c>
      <c r="H1748" t="s">
        <v>20</v>
      </c>
      <c r="I1748">
        <v>3</v>
      </c>
      <c r="J1748">
        <v>400</v>
      </c>
      <c r="K1748">
        <v>1200</v>
      </c>
      <c r="L17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49" spans="1:12" x14ac:dyDescent="0.3">
      <c r="A1749">
        <v>1748</v>
      </c>
      <c r="B1749" s="1">
        <v>45512</v>
      </c>
      <c r="C1749" s="1" t="str">
        <f>TEXT(RetailStore[[#This Row],[Date]],"mmm")</f>
        <v>Aug</v>
      </c>
      <c r="D1749">
        <v>2024</v>
      </c>
      <c r="E1749" t="s">
        <v>1762</v>
      </c>
      <c r="F1749" t="s">
        <v>11</v>
      </c>
      <c r="G1749">
        <v>29</v>
      </c>
      <c r="H1749" t="s">
        <v>20</v>
      </c>
      <c r="I1749">
        <v>2</v>
      </c>
      <c r="J1749">
        <v>385</v>
      </c>
      <c r="K1749">
        <v>770</v>
      </c>
      <c r="L17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50" spans="1:12" x14ac:dyDescent="0.3">
      <c r="A1750">
        <v>1749</v>
      </c>
      <c r="B1750" s="1">
        <v>45360</v>
      </c>
      <c r="C1750" s="1" t="str">
        <f>TEXT(RetailStore[[#This Row],[Date]],"mmm")</f>
        <v>Mar</v>
      </c>
      <c r="D1750">
        <v>2024</v>
      </c>
      <c r="E1750" t="s">
        <v>1763</v>
      </c>
      <c r="F1750" t="s">
        <v>11</v>
      </c>
      <c r="G1750">
        <v>49</v>
      </c>
      <c r="H1750" t="s">
        <v>15</v>
      </c>
      <c r="I1750">
        <v>1</v>
      </c>
      <c r="J1750">
        <v>255</v>
      </c>
      <c r="K1750">
        <v>255</v>
      </c>
      <c r="L17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51" spans="1:12" x14ac:dyDescent="0.3">
      <c r="A1751">
        <v>1750</v>
      </c>
      <c r="B1751" s="1">
        <v>45582</v>
      </c>
      <c r="C1751" s="1" t="str">
        <f>TEXT(RetailStore[[#This Row],[Date]],"mmm")</f>
        <v>Oct</v>
      </c>
      <c r="D1751">
        <v>2024</v>
      </c>
      <c r="E1751" t="s">
        <v>1764</v>
      </c>
      <c r="F1751" t="s">
        <v>11</v>
      </c>
      <c r="G1751">
        <v>29</v>
      </c>
      <c r="H1751" t="s">
        <v>15</v>
      </c>
      <c r="I1751">
        <v>1</v>
      </c>
      <c r="J1751">
        <v>408</v>
      </c>
      <c r="K1751">
        <v>408</v>
      </c>
      <c r="L17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52" spans="1:12" x14ac:dyDescent="0.3">
      <c r="A1752">
        <v>1751</v>
      </c>
      <c r="B1752" s="1">
        <v>45385</v>
      </c>
      <c r="C1752" s="1" t="str">
        <f>TEXT(RetailStore[[#This Row],[Date]],"mmm")</f>
        <v>Apr</v>
      </c>
      <c r="D1752">
        <v>2024</v>
      </c>
      <c r="E1752" t="s">
        <v>1765</v>
      </c>
      <c r="F1752" t="s">
        <v>11</v>
      </c>
      <c r="G1752">
        <v>34</v>
      </c>
      <c r="H1752" t="s">
        <v>20</v>
      </c>
      <c r="I1752">
        <v>4</v>
      </c>
      <c r="J1752">
        <v>345</v>
      </c>
      <c r="K1752">
        <v>1380</v>
      </c>
      <c r="L17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53" spans="1:12" x14ac:dyDescent="0.3">
      <c r="A1753">
        <v>1752</v>
      </c>
      <c r="B1753" s="1">
        <v>45611</v>
      </c>
      <c r="C1753" s="1" t="str">
        <f>TEXT(RetailStore[[#This Row],[Date]],"mmm")</f>
        <v>Nov</v>
      </c>
      <c r="D1753">
        <v>2024</v>
      </c>
      <c r="E1753" t="s">
        <v>1766</v>
      </c>
      <c r="F1753" t="s">
        <v>11</v>
      </c>
      <c r="G1753">
        <v>58</v>
      </c>
      <c r="H1753" t="s">
        <v>15</v>
      </c>
      <c r="I1753">
        <v>1</v>
      </c>
      <c r="J1753">
        <v>175</v>
      </c>
      <c r="K1753">
        <v>175</v>
      </c>
      <c r="L17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54" spans="1:12" x14ac:dyDescent="0.3">
      <c r="A1754">
        <v>1753</v>
      </c>
      <c r="B1754" s="1">
        <v>45335</v>
      </c>
      <c r="C1754" s="1" t="str">
        <f>TEXT(RetailStore[[#This Row],[Date]],"mmm")</f>
        <v>Feb</v>
      </c>
      <c r="D1754">
        <v>2024</v>
      </c>
      <c r="E1754" t="s">
        <v>1767</v>
      </c>
      <c r="F1754" t="s">
        <v>18</v>
      </c>
      <c r="G1754">
        <v>25</v>
      </c>
      <c r="H1754" t="s">
        <v>20</v>
      </c>
      <c r="I1754">
        <v>1</v>
      </c>
      <c r="J1754">
        <v>200</v>
      </c>
      <c r="K1754">
        <v>200</v>
      </c>
      <c r="L17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55" spans="1:12" x14ac:dyDescent="0.3">
      <c r="A1755">
        <v>1754</v>
      </c>
      <c r="B1755" s="1">
        <v>45307</v>
      </c>
      <c r="C1755" s="1" t="str">
        <f>TEXT(RetailStore[[#This Row],[Date]],"mmm")</f>
        <v>Jan</v>
      </c>
      <c r="D1755">
        <v>2024</v>
      </c>
      <c r="E1755" t="s">
        <v>1768</v>
      </c>
      <c r="F1755" t="s">
        <v>11</v>
      </c>
      <c r="G1755">
        <v>48</v>
      </c>
      <c r="H1755" t="s">
        <v>20</v>
      </c>
      <c r="I1755">
        <v>1</v>
      </c>
      <c r="J1755">
        <v>29</v>
      </c>
      <c r="K1755">
        <v>29</v>
      </c>
      <c r="L17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56" spans="1:12" x14ac:dyDescent="0.3">
      <c r="A1756">
        <v>1755</v>
      </c>
      <c r="B1756" s="1">
        <v>45323</v>
      </c>
      <c r="C1756" s="1" t="str">
        <f>TEXT(RetailStore[[#This Row],[Date]],"mmm")</f>
        <v>Feb</v>
      </c>
      <c r="D1756">
        <v>2024</v>
      </c>
      <c r="E1756" t="s">
        <v>1769</v>
      </c>
      <c r="F1756" t="s">
        <v>18</v>
      </c>
      <c r="G1756">
        <v>18</v>
      </c>
      <c r="H1756" t="s">
        <v>12</v>
      </c>
      <c r="I1756">
        <v>1</v>
      </c>
      <c r="J1756">
        <v>74</v>
      </c>
      <c r="K1756">
        <v>74</v>
      </c>
      <c r="L17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57" spans="1:12" x14ac:dyDescent="0.3">
      <c r="A1757">
        <v>1756</v>
      </c>
      <c r="B1757" s="1">
        <v>45400</v>
      </c>
      <c r="C1757" s="1" t="str">
        <f>TEXT(RetailStore[[#This Row],[Date]],"mmm")</f>
        <v>Apr</v>
      </c>
      <c r="D1757">
        <v>2024</v>
      </c>
      <c r="E1757" t="s">
        <v>1770</v>
      </c>
      <c r="F1757" t="s">
        <v>11</v>
      </c>
      <c r="G1757">
        <v>42</v>
      </c>
      <c r="H1757" t="s">
        <v>12</v>
      </c>
      <c r="I1757">
        <v>3</v>
      </c>
      <c r="J1757">
        <v>273</v>
      </c>
      <c r="K1757">
        <v>819</v>
      </c>
      <c r="L17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58" spans="1:12" x14ac:dyDescent="0.3">
      <c r="A1758">
        <v>1757</v>
      </c>
      <c r="B1758" s="1">
        <v>45534</v>
      </c>
      <c r="C1758" s="1" t="str">
        <f>TEXT(RetailStore[[#This Row],[Date]],"mmm")</f>
        <v>Aug</v>
      </c>
      <c r="D1758">
        <v>2024</v>
      </c>
      <c r="E1758" t="s">
        <v>1771</v>
      </c>
      <c r="F1758" t="s">
        <v>18</v>
      </c>
      <c r="G1758">
        <v>56</v>
      </c>
      <c r="H1758" t="s">
        <v>20</v>
      </c>
      <c r="I1758">
        <v>3</v>
      </c>
      <c r="J1758">
        <v>214</v>
      </c>
      <c r="K1758">
        <v>642</v>
      </c>
      <c r="L17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59" spans="1:12" x14ac:dyDescent="0.3">
      <c r="A1759">
        <v>1758</v>
      </c>
      <c r="B1759" s="1">
        <v>45641</v>
      </c>
      <c r="C1759" s="1" t="str">
        <f>TEXT(RetailStore[[#This Row],[Date]],"mmm")</f>
        <v>Dec</v>
      </c>
      <c r="D1759">
        <v>2024</v>
      </c>
      <c r="E1759" t="s">
        <v>1772</v>
      </c>
      <c r="F1759" t="s">
        <v>18</v>
      </c>
      <c r="G1759">
        <v>38</v>
      </c>
      <c r="H1759" t="s">
        <v>15</v>
      </c>
      <c r="I1759">
        <v>3</v>
      </c>
      <c r="J1759">
        <v>365</v>
      </c>
      <c r="K1759">
        <v>1095</v>
      </c>
      <c r="L17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60" spans="1:12" x14ac:dyDescent="0.3">
      <c r="A1760">
        <v>1759</v>
      </c>
      <c r="B1760" s="1">
        <v>45496</v>
      </c>
      <c r="C1760" s="1" t="str">
        <f>TEXT(RetailStore[[#This Row],[Date]],"mmm")</f>
        <v>Jul</v>
      </c>
      <c r="D1760">
        <v>2024</v>
      </c>
      <c r="E1760" t="s">
        <v>1773</v>
      </c>
      <c r="F1760" t="s">
        <v>18</v>
      </c>
      <c r="G1760">
        <v>57</v>
      </c>
      <c r="H1760" t="s">
        <v>15</v>
      </c>
      <c r="I1760">
        <v>3</v>
      </c>
      <c r="J1760">
        <v>472</v>
      </c>
      <c r="K1760">
        <v>1416</v>
      </c>
      <c r="L17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61" spans="1:12" x14ac:dyDescent="0.3">
      <c r="A1761">
        <v>1760</v>
      </c>
      <c r="B1761" s="1">
        <v>45461</v>
      </c>
      <c r="C1761" s="1" t="str">
        <f>TEXT(RetailStore[[#This Row],[Date]],"mmm")</f>
        <v>Jun</v>
      </c>
      <c r="D1761">
        <v>2024</v>
      </c>
      <c r="E1761" t="s">
        <v>1774</v>
      </c>
      <c r="F1761" t="s">
        <v>11</v>
      </c>
      <c r="G1761">
        <v>18</v>
      </c>
      <c r="H1761" t="s">
        <v>20</v>
      </c>
      <c r="I1761">
        <v>4</v>
      </c>
      <c r="J1761">
        <v>396</v>
      </c>
      <c r="K1761">
        <v>1584</v>
      </c>
      <c r="L17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62" spans="1:12" x14ac:dyDescent="0.3">
      <c r="A1762">
        <v>1761</v>
      </c>
      <c r="B1762" s="1">
        <v>45363</v>
      </c>
      <c r="C1762" s="1" t="str">
        <f>TEXT(RetailStore[[#This Row],[Date]],"mmm")</f>
        <v>Mar</v>
      </c>
      <c r="D1762">
        <v>2024</v>
      </c>
      <c r="E1762" t="s">
        <v>1775</v>
      </c>
      <c r="F1762" t="s">
        <v>11</v>
      </c>
      <c r="G1762">
        <v>56</v>
      </c>
      <c r="H1762" t="s">
        <v>15</v>
      </c>
      <c r="I1762">
        <v>3</v>
      </c>
      <c r="J1762">
        <v>383</v>
      </c>
      <c r="K1762">
        <v>1149</v>
      </c>
      <c r="L17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63" spans="1:12" x14ac:dyDescent="0.3">
      <c r="A1763">
        <v>1762</v>
      </c>
      <c r="B1763" s="1">
        <v>45419</v>
      </c>
      <c r="C1763" s="1" t="str">
        <f>TEXT(RetailStore[[#This Row],[Date]],"mmm")</f>
        <v>May</v>
      </c>
      <c r="D1763">
        <v>2024</v>
      </c>
      <c r="E1763" t="s">
        <v>1776</v>
      </c>
      <c r="F1763" t="s">
        <v>18</v>
      </c>
      <c r="G1763">
        <v>46</v>
      </c>
      <c r="H1763" t="s">
        <v>12</v>
      </c>
      <c r="I1763">
        <v>4</v>
      </c>
      <c r="J1763">
        <v>288</v>
      </c>
      <c r="K1763">
        <v>1152</v>
      </c>
      <c r="L17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64" spans="1:12" x14ac:dyDescent="0.3">
      <c r="A1764">
        <v>1763</v>
      </c>
      <c r="B1764" s="1">
        <v>45503</v>
      </c>
      <c r="C1764" s="1" t="str">
        <f>TEXT(RetailStore[[#This Row],[Date]],"mmm")</f>
        <v>Jul</v>
      </c>
      <c r="D1764">
        <v>2024</v>
      </c>
      <c r="E1764" t="s">
        <v>1777</v>
      </c>
      <c r="F1764" t="s">
        <v>11</v>
      </c>
      <c r="G1764">
        <v>18</v>
      </c>
      <c r="H1764" t="s">
        <v>12</v>
      </c>
      <c r="I1764">
        <v>3</v>
      </c>
      <c r="J1764">
        <v>33</v>
      </c>
      <c r="K1764">
        <v>99</v>
      </c>
      <c r="L17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65" spans="1:12" x14ac:dyDescent="0.3">
      <c r="A1765">
        <v>1764</v>
      </c>
      <c r="B1765" s="1">
        <v>45616</v>
      </c>
      <c r="C1765" s="1" t="str">
        <f>TEXT(RetailStore[[#This Row],[Date]],"mmm")</f>
        <v>Nov</v>
      </c>
      <c r="D1765">
        <v>2024</v>
      </c>
      <c r="E1765" t="s">
        <v>1778</v>
      </c>
      <c r="F1765" t="s">
        <v>18</v>
      </c>
      <c r="G1765">
        <v>20</v>
      </c>
      <c r="H1765" t="s">
        <v>12</v>
      </c>
      <c r="I1765">
        <v>3</v>
      </c>
      <c r="J1765">
        <v>372</v>
      </c>
      <c r="K1765">
        <v>1116</v>
      </c>
      <c r="L17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66" spans="1:12" x14ac:dyDescent="0.3">
      <c r="A1766">
        <v>1765</v>
      </c>
      <c r="B1766" s="1">
        <v>45519</v>
      </c>
      <c r="C1766" s="1" t="str">
        <f>TEXT(RetailStore[[#This Row],[Date]],"mmm")</f>
        <v>Aug</v>
      </c>
      <c r="D1766">
        <v>2024</v>
      </c>
      <c r="E1766" t="s">
        <v>1779</v>
      </c>
      <c r="F1766" t="s">
        <v>11</v>
      </c>
      <c r="G1766">
        <v>56</v>
      </c>
      <c r="H1766" t="s">
        <v>20</v>
      </c>
      <c r="I1766">
        <v>4</v>
      </c>
      <c r="J1766">
        <v>403</v>
      </c>
      <c r="K1766">
        <v>1612</v>
      </c>
      <c r="L17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67" spans="1:12" x14ac:dyDescent="0.3">
      <c r="A1767">
        <v>1766</v>
      </c>
      <c r="B1767" s="1">
        <v>45605</v>
      </c>
      <c r="C1767" s="1" t="str">
        <f>TEXT(RetailStore[[#This Row],[Date]],"mmm")</f>
        <v>Nov</v>
      </c>
      <c r="D1767">
        <v>2024</v>
      </c>
      <c r="E1767" t="s">
        <v>1780</v>
      </c>
      <c r="F1767" t="s">
        <v>11</v>
      </c>
      <c r="G1767">
        <v>40</v>
      </c>
      <c r="H1767" t="s">
        <v>20</v>
      </c>
      <c r="I1767">
        <v>4</v>
      </c>
      <c r="J1767">
        <v>362</v>
      </c>
      <c r="K1767">
        <v>1448</v>
      </c>
      <c r="L17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68" spans="1:12" x14ac:dyDescent="0.3">
      <c r="A1768">
        <v>1767</v>
      </c>
      <c r="B1768" s="1">
        <v>45650</v>
      </c>
      <c r="C1768" s="1" t="str">
        <f>TEXT(RetailStore[[#This Row],[Date]],"mmm")</f>
        <v>Dec</v>
      </c>
      <c r="D1768">
        <v>2024</v>
      </c>
      <c r="E1768" t="s">
        <v>1781</v>
      </c>
      <c r="F1768" t="s">
        <v>11</v>
      </c>
      <c r="G1768">
        <v>64</v>
      </c>
      <c r="H1768" t="s">
        <v>20</v>
      </c>
      <c r="I1768">
        <v>3</v>
      </c>
      <c r="J1768">
        <v>335</v>
      </c>
      <c r="K1768">
        <v>1005</v>
      </c>
      <c r="L17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69" spans="1:12" x14ac:dyDescent="0.3">
      <c r="A1769">
        <v>1768</v>
      </c>
      <c r="B1769" s="1">
        <v>45391</v>
      </c>
      <c r="C1769" s="1" t="str">
        <f>TEXT(RetailStore[[#This Row],[Date]],"mmm")</f>
        <v>Apr</v>
      </c>
      <c r="D1769">
        <v>2024</v>
      </c>
      <c r="E1769" t="s">
        <v>1782</v>
      </c>
      <c r="F1769" t="s">
        <v>11</v>
      </c>
      <c r="G1769">
        <v>51</v>
      </c>
      <c r="H1769" t="s">
        <v>12</v>
      </c>
      <c r="I1769">
        <v>1</v>
      </c>
      <c r="J1769">
        <v>90</v>
      </c>
      <c r="K1769">
        <v>90</v>
      </c>
      <c r="L17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70" spans="1:12" x14ac:dyDescent="0.3">
      <c r="A1770">
        <v>1769</v>
      </c>
      <c r="B1770" s="1">
        <v>45546</v>
      </c>
      <c r="C1770" s="1" t="str">
        <f>TEXT(RetailStore[[#This Row],[Date]],"mmm")</f>
        <v>Sep</v>
      </c>
      <c r="D1770">
        <v>2024</v>
      </c>
      <c r="E1770" t="s">
        <v>1783</v>
      </c>
      <c r="F1770" t="s">
        <v>11</v>
      </c>
      <c r="G1770">
        <v>37</v>
      </c>
      <c r="H1770" t="s">
        <v>12</v>
      </c>
      <c r="I1770">
        <v>4</v>
      </c>
      <c r="J1770">
        <v>111</v>
      </c>
      <c r="K1770">
        <v>444</v>
      </c>
      <c r="L17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71" spans="1:12" x14ac:dyDescent="0.3">
      <c r="A1771">
        <v>1770</v>
      </c>
      <c r="B1771" s="1">
        <v>45520</v>
      </c>
      <c r="C1771" s="1" t="str">
        <f>TEXT(RetailStore[[#This Row],[Date]],"mmm")</f>
        <v>Aug</v>
      </c>
      <c r="D1771">
        <v>2024</v>
      </c>
      <c r="E1771" t="s">
        <v>1784</v>
      </c>
      <c r="F1771" t="s">
        <v>11</v>
      </c>
      <c r="G1771">
        <v>48</v>
      </c>
      <c r="H1771" t="s">
        <v>12</v>
      </c>
      <c r="I1771">
        <v>2</v>
      </c>
      <c r="J1771">
        <v>149</v>
      </c>
      <c r="K1771">
        <v>298</v>
      </c>
      <c r="L17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72" spans="1:12" x14ac:dyDescent="0.3">
      <c r="A1772">
        <v>1771</v>
      </c>
      <c r="B1772" s="1">
        <v>45400</v>
      </c>
      <c r="C1772" s="1" t="str">
        <f>TEXT(RetailStore[[#This Row],[Date]],"mmm")</f>
        <v>Apr</v>
      </c>
      <c r="D1772">
        <v>2024</v>
      </c>
      <c r="E1772" t="s">
        <v>1785</v>
      </c>
      <c r="F1772" t="s">
        <v>11</v>
      </c>
      <c r="G1772">
        <v>60</v>
      </c>
      <c r="H1772" t="s">
        <v>12</v>
      </c>
      <c r="I1772">
        <v>1</v>
      </c>
      <c r="J1772">
        <v>79</v>
      </c>
      <c r="K1772">
        <v>79</v>
      </c>
      <c r="L17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73" spans="1:12" x14ac:dyDescent="0.3">
      <c r="A1773">
        <v>1772</v>
      </c>
      <c r="B1773" s="1">
        <v>45514</v>
      </c>
      <c r="C1773" s="1" t="str">
        <f>TEXT(RetailStore[[#This Row],[Date]],"mmm")</f>
        <v>Aug</v>
      </c>
      <c r="D1773">
        <v>2024</v>
      </c>
      <c r="E1773" t="s">
        <v>1786</v>
      </c>
      <c r="F1773" t="s">
        <v>11</v>
      </c>
      <c r="G1773">
        <v>28</v>
      </c>
      <c r="H1773" t="s">
        <v>20</v>
      </c>
      <c r="I1773">
        <v>4</v>
      </c>
      <c r="J1773">
        <v>417</v>
      </c>
      <c r="K1773">
        <v>1668</v>
      </c>
      <c r="L17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74" spans="1:12" x14ac:dyDescent="0.3">
      <c r="A1774">
        <v>1773</v>
      </c>
      <c r="B1774" s="1">
        <v>45435</v>
      </c>
      <c r="C1774" s="1" t="str">
        <f>TEXT(RetailStore[[#This Row],[Date]],"mmm")</f>
        <v>May</v>
      </c>
      <c r="D1774">
        <v>2024</v>
      </c>
      <c r="E1774" t="s">
        <v>1787</v>
      </c>
      <c r="F1774" t="s">
        <v>11</v>
      </c>
      <c r="G1774">
        <v>64</v>
      </c>
      <c r="H1774" t="s">
        <v>20</v>
      </c>
      <c r="I1774">
        <v>4</v>
      </c>
      <c r="J1774">
        <v>484</v>
      </c>
      <c r="K1774">
        <v>1936</v>
      </c>
      <c r="L17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75" spans="1:12" x14ac:dyDescent="0.3">
      <c r="A1775">
        <v>1774</v>
      </c>
      <c r="B1775" s="1">
        <v>45635</v>
      </c>
      <c r="C1775" s="1" t="str">
        <f>TEXT(RetailStore[[#This Row],[Date]],"mmm")</f>
        <v>Dec</v>
      </c>
      <c r="D1775">
        <v>2024</v>
      </c>
      <c r="E1775" t="s">
        <v>1788</v>
      </c>
      <c r="F1775" t="s">
        <v>11</v>
      </c>
      <c r="G1775">
        <v>60</v>
      </c>
      <c r="H1775" t="s">
        <v>15</v>
      </c>
      <c r="I1775">
        <v>4</v>
      </c>
      <c r="J1775">
        <v>71</v>
      </c>
      <c r="K1775">
        <v>284</v>
      </c>
      <c r="L17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76" spans="1:12" x14ac:dyDescent="0.3">
      <c r="A1776">
        <v>1775</v>
      </c>
      <c r="B1776" s="1">
        <v>45646</v>
      </c>
      <c r="C1776" s="1" t="str">
        <f>TEXT(RetailStore[[#This Row],[Date]],"mmm")</f>
        <v>Dec</v>
      </c>
      <c r="D1776">
        <v>2024</v>
      </c>
      <c r="E1776" t="s">
        <v>1789</v>
      </c>
      <c r="F1776" t="s">
        <v>18</v>
      </c>
      <c r="G1776">
        <v>32</v>
      </c>
      <c r="H1776" t="s">
        <v>12</v>
      </c>
      <c r="I1776">
        <v>1</v>
      </c>
      <c r="J1776">
        <v>354</v>
      </c>
      <c r="K1776">
        <v>354</v>
      </c>
      <c r="L17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77" spans="1:12" x14ac:dyDescent="0.3">
      <c r="A1777">
        <v>1776</v>
      </c>
      <c r="B1777" s="1">
        <v>45467</v>
      </c>
      <c r="C1777" s="1" t="str">
        <f>TEXT(RetailStore[[#This Row],[Date]],"mmm")</f>
        <v>Jun</v>
      </c>
      <c r="D1777">
        <v>2024</v>
      </c>
      <c r="E1777" t="s">
        <v>1790</v>
      </c>
      <c r="F1777" t="s">
        <v>18</v>
      </c>
      <c r="G1777">
        <v>63</v>
      </c>
      <c r="H1777" t="s">
        <v>12</v>
      </c>
      <c r="I1777">
        <v>4</v>
      </c>
      <c r="J1777">
        <v>359</v>
      </c>
      <c r="K1777">
        <v>1436</v>
      </c>
      <c r="L17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78" spans="1:12" x14ac:dyDescent="0.3">
      <c r="A1778">
        <v>1777</v>
      </c>
      <c r="B1778" s="1">
        <v>45620</v>
      </c>
      <c r="C1778" s="1" t="str">
        <f>TEXT(RetailStore[[#This Row],[Date]],"mmm")</f>
        <v>Nov</v>
      </c>
      <c r="D1778">
        <v>2024</v>
      </c>
      <c r="E1778" t="s">
        <v>1791</v>
      </c>
      <c r="F1778" t="s">
        <v>18</v>
      </c>
      <c r="G1778">
        <v>32</v>
      </c>
      <c r="H1778" t="s">
        <v>15</v>
      </c>
      <c r="I1778">
        <v>3</v>
      </c>
      <c r="J1778">
        <v>84</v>
      </c>
      <c r="K1778">
        <v>252</v>
      </c>
      <c r="L17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79" spans="1:12" x14ac:dyDescent="0.3">
      <c r="A1779">
        <v>1778</v>
      </c>
      <c r="B1779" s="1">
        <v>45440</v>
      </c>
      <c r="C1779" s="1" t="str">
        <f>TEXT(RetailStore[[#This Row],[Date]],"mmm")</f>
        <v>May</v>
      </c>
      <c r="D1779">
        <v>2024</v>
      </c>
      <c r="E1779" t="s">
        <v>1792</v>
      </c>
      <c r="F1779" t="s">
        <v>11</v>
      </c>
      <c r="G1779">
        <v>25</v>
      </c>
      <c r="H1779" t="s">
        <v>15</v>
      </c>
      <c r="I1779">
        <v>3</v>
      </c>
      <c r="J1779">
        <v>404</v>
      </c>
      <c r="K1779">
        <v>1212</v>
      </c>
      <c r="L17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80" spans="1:12" x14ac:dyDescent="0.3">
      <c r="A1780">
        <v>1779</v>
      </c>
      <c r="B1780" s="1">
        <v>45595</v>
      </c>
      <c r="C1780" s="1" t="str">
        <f>TEXT(RetailStore[[#This Row],[Date]],"mmm")</f>
        <v>Oct</v>
      </c>
      <c r="D1780">
        <v>2024</v>
      </c>
      <c r="E1780" t="s">
        <v>1793</v>
      </c>
      <c r="F1780" t="s">
        <v>11</v>
      </c>
      <c r="G1780">
        <v>25</v>
      </c>
      <c r="H1780" t="s">
        <v>12</v>
      </c>
      <c r="I1780">
        <v>3</v>
      </c>
      <c r="J1780">
        <v>90</v>
      </c>
      <c r="K1780">
        <v>270</v>
      </c>
      <c r="L17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81" spans="1:12" x14ac:dyDescent="0.3">
      <c r="A1781">
        <v>1780</v>
      </c>
      <c r="B1781" s="1">
        <v>45452</v>
      </c>
      <c r="C1781" s="1" t="str">
        <f>TEXT(RetailStore[[#This Row],[Date]],"mmm")</f>
        <v>Jun</v>
      </c>
      <c r="D1781">
        <v>2024</v>
      </c>
      <c r="E1781" t="s">
        <v>1794</v>
      </c>
      <c r="F1781" t="s">
        <v>18</v>
      </c>
      <c r="G1781">
        <v>54</v>
      </c>
      <c r="H1781" t="s">
        <v>12</v>
      </c>
      <c r="I1781">
        <v>1</v>
      </c>
      <c r="J1781">
        <v>184</v>
      </c>
      <c r="K1781">
        <v>184</v>
      </c>
      <c r="L17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82" spans="1:12" x14ac:dyDescent="0.3">
      <c r="A1782">
        <v>1781</v>
      </c>
      <c r="B1782" s="1">
        <v>45323</v>
      </c>
      <c r="C1782" s="1" t="str">
        <f>TEXT(RetailStore[[#This Row],[Date]],"mmm")</f>
        <v>Feb</v>
      </c>
      <c r="D1782">
        <v>2024</v>
      </c>
      <c r="E1782" t="s">
        <v>1795</v>
      </c>
      <c r="F1782" t="s">
        <v>11</v>
      </c>
      <c r="G1782">
        <v>42</v>
      </c>
      <c r="H1782" t="s">
        <v>20</v>
      </c>
      <c r="I1782">
        <v>3</v>
      </c>
      <c r="J1782">
        <v>419</v>
      </c>
      <c r="K1782">
        <v>1257</v>
      </c>
      <c r="L17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83" spans="1:12" x14ac:dyDescent="0.3">
      <c r="A1783">
        <v>1782</v>
      </c>
      <c r="B1783" s="1">
        <v>45478</v>
      </c>
      <c r="C1783" s="1" t="str">
        <f>TEXT(RetailStore[[#This Row],[Date]],"mmm")</f>
        <v>Jul</v>
      </c>
      <c r="D1783">
        <v>2024</v>
      </c>
      <c r="E1783" t="s">
        <v>1796</v>
      </c>
      <c r="F1783" t="s">
        <v>11</v>
      </c>
      <c r="G1783">
        <v>51</v>
      </c>
      <c r="H1783" t="s">
        <v>12</v>
      </c>
      <c r="I1783">
        <v>2</v>
      </c>
      <c r="J1783">
        <v>79</v>
      </c>
      <c r="K1783">
        <v>158</v>
      </c>
      <c r="L17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84" spans="1:12" x14ac:dyDescent="0.3">
      <c r="A1784">
        <v>1783</v>
      </c>
      <c r="B1784" s="1">
        <v>45494</v>
      </c>
      <c r="C1784" s="1" t="str">
        <f>TEXT(RetailStore[[#This Row],[Date]],"mmm")</f>
        <v>Jul</v>
      </c>
      <c r="D1784">
        <v>2024</v>
      </c>
      <c r="E1784" t="s">
        <v>1797</v>
      </c>
      <c r="F1784" t="s">
        <v>11</v>
      </c>
      <c r="G1784">
        <v>52</v>
      </c>
      <c r="H1784" t="s">
        <v>20</v>
      </c>
      <c r="I1784">
        <v>3</v>
      </c>
      <c r="J1784">
        <v>99</v>
      </c>
      <c r="K1784">
        <v>297</v>
      </c>
      <c r="L17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85" spans="1:12" x14ac:dyDescent="0.3">
      <c r="A1785">
        <v>1784</v>
      </c>
      <c r="B1785" s="1">
        <v>45443</v>
      </c>
      <c r="C1785" s="1" t="str">
        <f>TEXT(RetailStore[[#This Row],[Date]],"mmm")</f>
        <v>May</v>
      </c>
      <c r="D1785">
        <v>2024</v>
      </c>
      <c r="E1785" t="s">
        <v>1798</v>
      </c>
      <c r="F1785" t="s">
        <v>11</v>
      </c>
      <c r="G1785">
        <v>49</v>
      </c>
      <c r="H1785" t="s">
        <v>12</v>
      </c>
      <c r="I1785">
        <v>4</v>
      </c>
      <c r="J1785">
        <v>100</v>
      </c>
      <c r="K1785">
        <v>400</v>
      </c>
      <c r="L17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86" spans="1:12" x14ac:dyDescent="0.3">
      <c r="A1786">
        <v>1785</v>
      </c>
      <c r="B1786" s="1">
        <v>45599</v>
      </c>
      <c r="C1786" s="1" t="str">
        <f>TEXT(RetailStore[[#This Row],[Date]],"mmm")</f>
        <v>Nov</v>
      </c>
      <c r="D1786">
        <v>2024</v>
      </c>
      <c r="E1786" t="s">
        <v>1799</v>
      </c>
      <c r="F1786" t="s">
        <v>18</v>
      </c>
      <c r="G1786">
        <v>27</v>
      </c>
      <c r="H1786" t="s">
        <v>12</v>
      </c>
      <c r="I1786">
        <v>1</v>
      </c>
      <c r="J1786">
        <v>331</v>
      </c>
      <c r="K1786">
        <v>331</v>
      </c>
      <c r="L17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87" spans="1:12" x14ac:dyDescent="0.3">
      <c r="A1787">
        <v>1786</v>
      </c>
      <c r="B1787" s="1">
        <v>45455</v>
      </c>
      <c r="C1787" s="1" t="str">
        <f>TEXT(RetailStore[[#This Row],[Date]],"mmm")</f>
        <v>Jun</v>
      </c>
      <c r="D1787">
        <v>2024</v>
      </c>
      <c r="E1787" t="s">
        <v>1800</v>
      </c>
      <c r="F1787" t="s">
        <v>18</v>
      </c>
      <c r="G1787">
        <v>50</v>
      </c>
      <c r="H1787" t="s">
        <v>12</v>
      </c>
      <c r="I1787">
        <v>1</v>
      </c>
      <c r="J1787">
        <v>165</v>
      </c>
      <c r="K1787">
        <v>165</v>
      </c>
      <c r="L17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88" spans="1:12" x14ac:dyDescent="0.3">
      <c r="A1788">
        <v>1787</v>
      </c>
      <c r="B1788" s="1">
        <v>45653</v>
      </c>
      <c r="C1788" s="1" t="str">
        <f>TEXT(RetailStore[[#This Row],[Date]],"mmm")</f>
        <v>Dec</v>
      </c>
      <c r="D1788">
        <v>2024</v>
      </c>
      <c r="E1788" t="s">
        <v>1801</v>
      </c>
      <c r="F1788" t="s">
        <v>18</v>
      </c>
      <c r="G1788">
        <v>58</v>
      </c>
      <c r="H1788" t="s">
        <v>15</v>
      </c>
      <c r="I1788">
        <v>4</v>
      </c>
      <c r="J1788">
        <v>174</v>
      </c>
      <c r="K1788">
        <v>696</v>
      </c>
      <c r="L17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89" spans="1:12" x14ac:dyDescent="0.3">
      <c r="A1789">
        <v>1788</v>
      </c>
      <c r="B1789" s="1">
        <v>45652</v>
      </c>
      <c r="C1789" s="1" t="str">
        <f>TEXT(RetailStore[[#This Row],[Date]],"mmm")</f>
        <v>Dec</v>
      </c>
      <c r="D1789">
        <v>2024</v>
      </c>
      <c r="E1789" t="s">
        <v>1802</v>
      </c>
      <c r="F1789" t="s">
        <v>18</v>
      </c>
      <c r="G1789">
        <v>21</v>
      </c>
      <c r="H1789" t="s">
        <v>20</v>
      </c>
      <c r="I1789">
        <v>2</v>
      </c>
      <c r="J1789">
        <v>448</v>
      </c>
      <c r="K1789">
        <v>896</v>
      </c>
      <c r="L17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90" spans="1:12" x14ac:dyDescent="0.3">
      <c r="A1790">
        <v>1789</v>
      </c>
      <c r="B1790" s="1">
        <v>45399</v>
      </c>
      <c r="C1790" s="1" t="str">
        <f>TEXT(RetailStore[[#This Row],[Date]],"mmm")</f>
        <v>Apr</v>
      </c>
      <c r="D1790">
        <v>2024</v>
      </c>
      <c r="E1790" t="s">
        <v>1803</v>
      </c>
      <c r="F1790" t="s">
        <v>11</v>
      </c>
      <c r="G1790">
        <v>62</v>
      </c>
      <c r="H1790" t="s">
        <v>12</v>
      </c>
      <c r="I1790">
        <v>1</v>
      </c>
      <c r="J1790">
        <v>497</v>
      </c>
      <c r="K1790">
        <v>497</v>
      </c>
      <c r="L17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91" spans="1:12" x14ac:dyDescent="0.3">
      <c r="A1791">
        <v>1790</v>
      </c>
      <c r="B1791" s="1">
        <v>45383</v>
      </c>
      <c r="C1791" s="1" t="str">
        <f>TEXT(RetailStore[[#This Row],[Date]],"mmm")</f>
        <v>Apr</v>
      </c>
      <c r="D1791">
        <v>2024</v>
      </c>
      <c r="E1791" t="s">
        <v>1804</v>
      </c>
      <c r="F1791" t="s">
        <v>18</v>
      </c>
      <c r="G1791">
        <v>64</v>
      </c>
      <c r="H1791" t="s">
        <v>20</v>
      </c>
      <c r="I1791">
        <v>3</v>
      </c>
      <c r="J1791">
        <v>442</v>
      </c>
      <c r="K1791">
        <v>1326</v>
      </c>
      <c r="L17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92" spans="1:12" x14ac:dyDescent="0.3">
      <c r="A1792">
        <v>1791</v>
      </c>
      <c r="B1792" s="1">
        <v>45629</v>
      </c>
      <c r="C1792" s="1" t="str">
        <f>TEXT(RetailStore[[#This Row],[Date]],"mmm")</f>
        <v>Dec</v>
      </c>
      <c r="D1792">
        <v>2024</v>
      </c>
      <c r="E1792" t="s">
        <v>1805</v>
      </c>
      <c r="F1792" t="s">
        <v>11</v>
      </c>
      <c r="G1792">
        <v>19</v>
      </c>
      <c r="H1792" t="s">
        <v>12</v>
      </c>
      <c r="I1792">
        <v>4</v>
      </c>
      <c r="J1792">
        <v>197</v>
      </c>
      <c r="K1792">
        <v>788</v>
      </c>
      <c r="L17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793" spans="1:12" x14ac:dyDescent="0.3">
      <c r="A1793">
        <v>1792</v>
      </c>
      <c r="B1793" s="1">
        <v>45508</v>
      </c>
      <c r="C1793" s="1" t="str">
        <f>TEXT(RetailStore[[#This Row],[Date]],"mmm")</f>
        <v>Aug</v>
      </c>
      <c r="D1793">
        <v>2024</v>
      </c>
      <c r="E1793" t="s">
        <v>1806</v>
      </c>
      <c r="F1793" t="s">
        <v>18</v>
      </c>
      <c r="G1793">
        <v>40</v>
      </c>
      <c r="H1793" t="s">
        <v>20</v>
      </c>
      <c r="I1793">
        <v>4</v>
      </c>
      <c r="J1793">
        <v>61</v>
      </c>
      <c r="K1793">
        <v>244</v>
      </c>
      <c r="L17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94" spans="1:12" x14ac:dyDescent="0.3">
      <c r="A1794">
        <v>1793</v>
      </c>
      <c r="B1794" s="1">
        <v>45562</v>
      </c>
      <c r="C1794" s="1" t="str">
        <f>TEXT(RetailStore[[#This Row],[Date]],"mmm")</f>
        <v>Sep</v>
      </c>
      <c r="D1794">
        <v>2024</v>
      </c>
      <c r="E1794" t="s">
        <v>1807</v>
      </c>
      <c r="F1794" t="s">
        <v>18</v>
      </c>
      <c r="G1794">
        <v>36</v>
      </c>
      <c r="H1794" t="s">
        <v>12</v>
      </c>
      <c r="I1794">
        <v>2</v>
      </c>
      <c r="J1794">
        <v>383</v>
      </c>
      <c r="K1794">
        <v>766</v>
      </c>
      <c r="L17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95" spans="1:12" x14ac:dyDescent="0.3">
      <c r="A1795">
        <v>1794</v>
      </c>
      <c r="B1795" s="1">
        <v>45572</v>
      </c>
      <c r="C1795" s="1" t="str">
        <f>TEXT(RetailStore[[#This Row],[Date]],"mmm")</f>
        <v>Oct</v>
      </c>
      <c r="D1795">
        <v>2024</v>
      </c>
      <c r="E1795" t="s">
        <v>1808</v>
      </c>
      <c r="F1795" t="s">
        <v>18</v>
      </c>
      <c r="G1795">
        <v>24</v>
      </c>
      <c r="H1795" t="s">
        <v>15</v>
      </c>
      <c r="I1795">
        <v>3</v>
      </c>
      <c r="J1795">
        <v>410</v>
      </c>
      <c r="K1795">
        <v>1230</v>
      </c>
      <c r="L17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96" spans="1:12" x14ac:dyDescent="0.3">
      <c r="A1796">
        <v>1795</v>
      </c>
      <c r="B1796" s="1">
        <v>45589</v>
      </c>
      <c r="C1796" s="1" t="str">
        <f>TEXT(RetailStore[[#This Row],[Date]],"mmm")</f>
        <v>Oct</v>
      </c>
      <c r="D1796">
        <v>2024</v>
      </c>
      <c r="E1796" t="s">
        <v>1809</v>
      </c>
      <c r="F1796" t="s">
        <v>11</v>
      </c>
      <c r="G1796">
        <v>63</v>
      </c>
      <c r="H1796" t="s">
        <v>20</v>
      </c>
      <c r="I1796">
        <v>4</v>
      </c>
      <c r="J1796">
        <v>360</v>
      </c>
      <c r="K1796">
        <v>1440</v>
      </c>
      <c r="L17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797" spans="1:12" x14ac:dyDescent="0.3">
      <c r="A1797">
        <v>1796</v>
      </c>
      <c r="B1797" s="1">
        <v>45375</v>
      </c>
      <c r="C1797" s="1" t="str">
        <f>TEXT(RetailStore[[#This Row],[Date]],"mmm")</f>
        <v>Mar</v>
      </c>
      <c r="D1797">
        <v>2024</v>
      </c>
      <c r="E1797" t="s">
        <v>1810</v>
      </c>
      <c r="F1797" t="s">
        <v>11</v>
      </c>
      <c r="G1797">
        <v>46</v>
      </c>
      <c r="H1797" t="s">
        <v>12</v>
      </c>
      <c r="I1797">
        <v>4</v>
      </c>
      <c r="J1797">
        <v>174</v>
      </c>
      <c r="K1797">
        <v>696</v>
      </c>
      <c r="L17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98" spans="1:12" x14ac:dyDescent="0.3">
      <c r="A1798">
        <v>1797</v>
      </c>
      <c r="B1798" s="1">
        <v>45366</v>
      </c>
      <c r="C1798" s="1" t="str">
        <f>TEXT(RetailStore[[#This Row],[Date]],"mmm")</f>
        <v>Mar</v>
      </c>
      <c r="D1798">
        <v>2024</v>
      </c>
      <c r="E1798" t="s">
        <v>1811</v>
      </c>
      <c r="F1798" t="s">
        <v>11</v>
      </c>
      <c r="G1798">
        <v>31</v>
      </c>
      <c r="H1798" t="s">
        <v>12</v>
      </c>
      <c r="I1798">
        <v>2</v>
      </c>
      <c r="J1798">
        <v>401</v>
      </c>
      <c r="K1798">
        <v>802</v>
      </c>
      <c r="L17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799" spans="1:12" x14ac:dyDescent="0.3">
      <c r="A1799">
        <v>1798</v>
      </c>
      <c r="B1799" s="1">
        <v>45625</v>
      </c>
      <c r="C1799" s="1" t="str">
        <f>TEXT(RetailStore[[#This Row],[Date]],"mmm")</f>
        <v>Nov</v>
      </c>
      <c r="D1799">
        <v>2024</v>
      </c>
      <c r="E1799" t="s">
        <v>1812</v>
      </c>
      <c r="F1799" t="s">
        <v>11</v>
      </c>
      <c r="G1799">
        <v>41</v>
      </c>
      <c r="H1799" t="s">
        <v>12</v>
      </c>
      <c r="I1799">
        <v>1</v>
      </c>
      <c r="J1799">
        <v>372</v>
      </c>
      <c r="K1799">
        <v>372</v>
      </c>
      <c r="L17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00" spans="1:12" x14ac:dyDescent="0.3">
      <c r="A1800">
        <v>1799</v>
      </c>
      <c r="B1800" s="1">
        <v>45367</v>
      </c>
      <c r="C1800" s="1" t="str">
        <f>TEXT(RetailStore[[#This Row],[Date]],"mmm")</f>
        <v>Mar</v>
      </c>
      <c r="D1800">
        <v>2024</v>
      </c>
      <c r="E1800" t="s">
        <v>1813</v>
      </c>
      <c r="F1800" t="s">
        <v>18</v>
      </c>
      <c r="G1800">
        <v>45</v>
      </c>
      <c r="H1800" t="s">
        <v>12</v>
      </c>
      <c r="I1800">
        <v>2</v>
      </c>
      <c r="J1800">
        <v>499</v>
      </c>
      <c r="K1800">
        <v>998</v>
      </c>
      <c r="L18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01" spans="1:12" x14ac:dyDescent="0.3">
      <c r="A1801">
        <v>1800</v>
      </c>
      <c r="B1801" s="1">
        <v>45320</v>
      </c>
      <c r="C1801" s="1" t="str">
        <f>TEXT(RetailStore[[#This Row],[Date]],"mmm")</f>
        <v>Jan</v>
      </c>
      <c r="D1801">
        <v>2024</v>
      </c>
      <c r="E1801" t="s">
        <v>1814</v>
      </c>
      <c r="F1801" t="s">
        <v>11</v>
      </c>
      <c r="G1801">
        <v>40</v>
      </c>
      <c r="H1801" t="s">
        <v>20</v>
      </c>
      <c r="I1801">
        <v>2</v>
      </c>
      <c r="J1801">
        <v>51</v>
      </c>
      <c r="K1801">
        <v>102</v>
      </c>
      <c r="L18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02" spans="1:12" x14ac:dyDescent="0.3">
      <c r="A1802">
        <v>1801</v>
      </c>
      <c r="B1802" s="1">
        <v>45352</v>
      </c>
      <c r="C1802" s="1" t="str">
        <f>TEXT(RetailStore[[#This Row],[Date]],"mmm")</f>
        <v>Mar</v>
      </c>
      <c r="D1802">
        <v>2024</v>
      </c>
      <c r="E1802" t="s">
        <v>1815</v>
      </c>
      <c r="F1802" t="s">
        <v>18</v>
      </c>
      <c r="G1802">
        <v>55</v>
      </c>
      <c r="H1802" t="s">
        <v>20</v>
      </c>
      <c r="I1802">
        <v>2</v>
      </c>
      <c r="J1802">
        <v>346</v>
      </c>
      <c r="K1802">
        <v>692</v>
      </c>
      <c r="L18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03" spans="1:12" x14ac:dyDescent="0.3">
      <c r="A1803">
        <v>1802</v>
      </c>
      <c r="B1803" s="1">
        <v>45498</v>
      </c>
      <c r="C1803" s="1" t="str">
        <f>TEXT(RetailStore[[#This Row],[Date]],"mmm")</f>
        <v>Jul</v>
      </c>
      <c r="D1803">
        <v>2024</v>
      </c>
      <c r="E1803" t="s">
        <v>1816</v>
      </c>
      <c r="F1803" t="s">
        <v>11</v>
      </c>
      <c r="G1803">
        <v>20</v>
      </c>
      <c r="H1803" t="s">
        <v>15</v>
      </c>
      <c r="I1803">
        <v>2</v>
      </c>
      <c r="J1803">
        <v>228</v>
      </c>
      <c r="K1803">
        <v>456</v>
      </c>
      <c r="L18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04" spans="1:12" x14ac:dyDescent="0.3">
      <c r="A1804">
        <v>1803</v>
      </c>
      <c r="B1804" s="1">
        <v>45542</v>
      </c>
      <c r="C1804" s="1" t="str">
        <f>TEXT(RetailStore[[#This Row],[Date]],"mmm")</f>
        <v>Sep</v>
      </c>
      <c r="D1804">
        <v>2024</v>
      </c>
      <c r="E1804" t="s">
        <v>1817</v>
      </c>
      <c r="F1804" t="s">
        <v>18</v>
      </c>
      <c r="G1804">
        <v>62</v>
      </c>
      <c r="H1804" t="s">
        <v>12</v>
      </c>
      <c r="I1804">
        <v>2</v>
      </c>
      <c r="J1804">
        <v>359</v>
      </c>
      <c r="K1804">
        <v>718</v>
      </c>
      <c r="L18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05" spans="1:12" x14ac:dyDescent="0.3">
      <c r="A1805">
        <v>1804</v>
      </c>
      <c r="B1805" s="1">
        <v>45484</v>
      </c>
      <c r="C1805" s="1" t="str">
        <f>TEXT(RetailStore[[#This Row],[Date]],"mmm")</f>
        <v>Jul</v>
      </c>
      <c r="D1805">
        <v>2024</v>
      </c>
      <c r="E1805" t="s">
        <v>1818</v>
      </c>
      <c r="F1805" t="s">
        <v>11</v>
      </c>
      <c r="G1805">
        <v>47</v>
      </c>
      <c r="H1805" t="s">
        <v>12</v>
      </c>
      <c r="I1805">
        <v>4</v>
      </c>
      <c r="J1805">
        <v>165</v>
      </c>
      <c r="K1805">
        <v>660</v>
      </c>
      <c r="L18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06" spans="1:12" x14ac:dyDescent="0.3">
      <c r="A1806">
        <v>1805</v>
      </c>
      <c r="B1806" s="1">
        <v>45615</v>
      </c>
      <c r="C1806" s="1" t="str">
        <f>TEXT(RetailStore[[#This Row],[Date]],"mmm")</f>
        <v>Nov</v>
      </c>
      <c r="D1806">
        <v>2024</v>
      </c>
      <c r="E1806" t="s">
        <v>1819</v>
      </c>
      <c r="F1806" t="s">
        <v>18</v>
      </c>
      <c r="G1806">
        <v>41</v>
      </c>
      <c r="H1806" t="s">
        <v>15</v>
      </c>
      <c r="I1806">
        <v>1</v>
      </c>
      <c r="J1806">
        <v>84</v>
      </c>
      <c r="K1806">
        <v>84</v>
      </c>
      <c r="L18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07" spans="1:12" x14ac:dyDescent="0.3">
      <c r="A1807">
        <v>1806</v>
      </c>
      <c r="B1807" s="1">
        <v>45334</v>
      </c>
      <c r="C1807" s="1" t="str">
        <f>TEXT(RetailStore[[#This Row],[Date]],"mmm")</f>
        <v>Feb</v>
      </c>
      <c r="D1807">
        <v>2024</v>
      </c>
      <c r="E1807" t="s">
        <v>1820</v>
      </c>
      <c r="F1807" t="s">
        <v>11</v>
      </c>
      <c r="G1807">
        <v>49</v>
      </c>
      <c r="H1807" t="s">
        <v>12</v>
      </c>
      <c r="I1807">
        <v>2</v>
      </c>
      <c r="J1807">
        <v>36</v>
      </c>
      <c r="K1807">
        <v>72</v>
      </c>
      <c r="L18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08" spans="1:12" x14ac:dyDescent="0.3">
      <c r="A1808">
        <v>1807</v>
      </c>
      <c r="B1808" s="1">
        <v>45592</v>
      </c>
      <c r="C1808" s="1" t="str">
        <f>TEXT(RetailStore[[#This Row],[Date]],"mmm")</f>
        <v>Oct</v>
      </c>
      <c r="D1808">
        <v>2024</v>
      </c>
      <c r="E1808" t="s">
        <v>1821</v>
      </c>
      <c r="F1808" t="s">
        <v>18</v>
      </c>
      <c r="G1808">
        <v>35</v>
      </c>
      <c r="H1808" t="s">
        <v>12</v>
      </c>
      <c r="I1808">
        <v>1</v>
      </c>
      <c r="J1808">
        <v>431</v>
      </c>
      <c r="K1808">
        <v>431</v>
      </c>
      <c r="L18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09" spans="1:12" x14ac:dyDescent="0.3">
      <c r="A1809">
        <v>1808</v>
      </c>
      <c r="B1809" s="1">
        <v>45595</v>
      </c>
      <c r="C1809" s="1" t="str">
        <f>TEXT(RetailStore[[#This Row],[Date]],"mmm")</f>
        <v>Oct</v>
      </c>
      <c r="D1809">
        <v>2024</v>
      </c>
      <c r="E1809" t="s">
        <v>1822</v>
      </c>
      <c r="F1809" t="s">
        <v>11</v>
      </c>
      <c r="G1809">
        <v>42</v>
      </c>
      <c r="H1809" t="s">
        <v>20</v>
      </c>
      <c r="I1809">
        <v>4</v>
      </c>
      <c r="J1809">
        <v>177</v>
      </c>
      <c r="K1809">
        <v>708</v>
      </c>
      <c r="L18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0" spans="1:12" x14ac:dyDescent="0.3">
      <c r="A1810">
        <v>1809</v>
      </c>
      <c r="B1810" s="1">
        <v>45584</v>
      </c>
      <c r="C1810" s="1" t="str">
        <f>TEXT(RetailStore[[#This Row],[Date]],"mmm")</f>
        <v>Oct</v>
      </c>
      <c r="D1810">
        <v>2024</v>
      </c>
      <c r="E1810" t="s">
        <v>1823</v>
      </c>
      <c r="F1810" t="s">
        <v>11</v>
      </c>
      <c r="G1810">
        <v>24</v>
      </c>
      <c r="H1810" t="s">
        <v>20</v>
      </c>
      <c r="I1810">
        <v>1</v>
      </c>
      <c r="J1810">
        <v>390</v>
      </c>
      <c r="K1810">
        <v>390</v>
      </c>
      <c r="L18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1" spans="1:12" x14ac:dyDescent="0.3">
      <c r="A1811">
        <v>1810</v>
      </c>
      <c r="B1811" s="1">
        <v>45567</v>
      </c>
      <c r="C1811" s="1" t="str">
        <f>TEXT(RetailStore[[#This Row],[Date]],"mmm")</f>
        <v>Oct</v>
      </c>
      <c r="D1811">
        <v>2024</v>
      </c>
      <c r="E1811" t="s">
        <v>1824</v>
      </c>
      <c r="F1811" t="s">
        <v>11</v>
      </c>
      <c r="G1811">
        <v>43</v>
      </c>
      <c r="H1811" t="s">
        <v>12</v>
      </c>
      <c r="I1811">
        <v>1</v>
      </c>
      <c r="J1811">
        <v>226</v>
      </c>
      <c r="K1811">
        <v>226</v>
      </c>
      <c r="L18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2" spans="1:12" x14ac:dyDescent="0.3">
      <c r="A1812">
        <v>1811</v>
      </c>
      <c r="B1812" s="1">
        <v>45576</v>
      </c>
      <c r="C1812" s="1" t="str">
        <f>TEXT(RetailStore[[#This Row],[Date]],"mmm")</f>
        <v>Oct</v>
      </c>
      <c r="D1812">
        <v>2024</v>
      </c>
      <c r="E1812" t="s">
        <v>1825</v>
      </c>
      <c r="F1812" t="s">
        <v>18</v>
      </c>
      <c r="G1812">
        <v>22</v>
      </c>
      <c r="H1812" t="s">
        <v>12</v>
      </c>
      <c r="I1812">
        <v>1</v>
      </c>
      <c r="J1812">
        <v>410</v>
      </c>
      <c r="K1812">
        <v>410</v>
      </c>
      <c r="L18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3" spans="1:12" x14ac:dyDescent="0.3">
      <c r="A1813">
        <v>1812</v>
      </c>
      <c r="B1813" s="1">
        <v>45398</v>
      </c>
      <c r="C1813" s="1" t="str">
        <f>TEXT(RetailStore[[#This Row],[Date]],"mmm")</f>
        <v>Apr</v>
      </c>
      <c r="D1813">
        <v>2024</v>
      </c>
      <c r="E1813" t="s">
        <v>1826</v>
      </c>
      <c r="F1813" t="s">
        <v>11</v>
      </c>
      <c r="G1813">
        <v>29</v>
      </c>
      <c r="H1813" t="s">
        <v>12</v>
      </c>
      <c r="I1813">
        <v>2</v>
      </c>
      <c r="J1813">
        <v>27</v>
      </c>
      <c r="K1813">
        <v>54</v>
      </c>
      <c r="L18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14" spans="1:12" x14ac:dyDescent="0.3">
      <c r="A1814">
        <v>1813</v>
      </c>
      <c r="B1814" s="1">
        <v>45576</v>
      </c>
      <c r="C1814" s="1" t="str">
        <f>TEXT(RetailStore[[#This Row],[Date]],"mmm")</f>
        <v>Oct</v>
      </c>
      <c r="D1814">
        <v>2024</v>
      </c>
      <c r="E1814" t="s">
        <v>1827</v>
      </c>
      <c r="F1814" t="s">
        <v>18</v>
      </c>
      <c r="G1814">
        <v>38</v>
      </c>
      <c r="H1814" t="s">
        <v>15</v>
      </c>
      <c r="I1814">
        <v>1</v>
      </c>
      <c r="J1814">
        <v>90</v>
      </c>
      <c r="K1814">
        <v>90</v>
      </c>
      <c r="L18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5" spans="1:12" x14ac:dyDescent="0.3">
      <c r="A1815">
        <v>1814</v>
      </c>
      <c r="B1815" s="1">
        <v>45586</v>
      </c>
      <c r="C1815" s="1" t="str">
        <f>TEXT(RetailStore[[#This Row],[Date]],"mmm")</f>
        <v>Oct</v>
      </c>
      <c r="D1815">
        <v>2024</v>
      </c>
      <c r="E1815" t="s">
        <v>1828</v>
      </c>
      <c r="F1815" t="s">
        <v>11</v>
      </c>
      <c r="G1815">
        <v>59</v>
      </c>
      <c r="H1815" t="s">
        <v>15</v>
      </c>
      <c r="I1815">
        <v>1</v>
      </c>
      <c r="J1815">
        <v>312</v>
      </c>
      <c r="K1815">
        <v>312</v>
      </c>
      <c r="L18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6" spans="1:12" x14ac:dyDescent="0.3">
      <c r="A1816">
        <v>1815</v>
      </c>
      <c r="B1816" s="1">
        <v>45423</v>
      </c>
      <c r="C1816" s="1" t="str">
        <f>TEXT(RetailStore[[#This Row],[Date]],"mmm")</f>
        <v>May</v>
      </c>
      <c r="D1816">
        <v>2024</v>
      </c>
      <c r="E1816" t="s">
        <v>1829</v>
      </c>
      <c r="F1816" t="s">
        <v>11</v>
      </c>
      <c r="G1816">
        <v>23</v>
      </c>
      <c r="H1816" t="s">
        <v>15</v>
      </c>
      <c r="I1816">
        <v>3</v>
      </c>
      <c r="J1816">
        <v>211</v>
      </c>
      <c r="K1816">
        <v>633</v>
      </c>
      <c r="L18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17" spans="1:12" x14ac:dyDescent="0.3">
      <c r="A1817">
        <v>1816</v>
      </c>
      <c r="B1817" s="1">
        <v>45570</v>
      </c>
      <c r="C1817" s="1" t="str">
        <f>TEXT(RetailStore[[#This Row],[Date]],"mmm")</f>
        <v>Oct</v>
      </c>
      <c r="D1817">
        <v>2024</v>
      </c>
      <c r="E1817" t="s">
        <v>1830</v>
      </c>
      <c r="F1817" t="s">
        <v>11</v>
      </c>
      <c r="G1817">
        <v>45</v>
      </c>
      <c r="H1817" t="s">
        <v>12</v>
      </c>
      <c r="I1817">
        <v>1</v>
      </c>
      <c r="J1817">
        <v>152</v>
      </c>
      <c r="K1817">
        <v>152</v>
      </c>
      <c r="L18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18" spans="1:12" x14ac:dyDescent="0.3">
      <c r="A1818">
        <v>1817</v>
      </c>
      <c r="B1818" s="1">
        <v>45445</v>
      </c>
      <c r="C1818" s="1" t="str">
        <f>TEXT(RetailStore[[#This Row],[Date]],"mmm")</f>
        <v>Jun</v>
      </c>
      <c r="D1818">
        <v>2024</v>
      </c>
      <c r="E1818" t="s">
        <v>1831</v>
      </c>
      <c r="F1818" t="s">
        <v>11</v>
      </c>
      <c r="G1818">
        <v>51</v>
      </c>
      <c r="H1818" t="s">
        <v>20</v>
      </c>
      <c r="I1818">
        <v>4</v>
      </c>
      <c r="J1818">
        <v>96</v>
      </c>
      <c r="K1818">
        <v>384</v>
      </c>
      <c r="L18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19" spans="1:12" x14ac:dyDescent="0.3">
      <c r="A1819">
        <v>1818</v>
      </c>
      <c r="B1819" s="1">
        <v>45587</v>
      </c>
      <c r="C1819" s="1" t="str">
        <f>TEXT(RetailStore[[#This Row],[Date]],"mmm")</f>
        <v>Oct</v>
      </c>
      <c r="D1819">
        <v>2024</v>
      </c>
      <c r="E1819" t="s">
        <v>1832</v>
      </c>
      <c r="F1819" t="s">
        <v>18</v>
      </c>
      <c r="G1819">
        <v>62</v>
      </c>
      <c r="H1819" t="s">
        <v>20</v>
      </c>
      <c r="I1819">
        <v>3</v>
      </c>
      <c r="J1819">
        <v>335</v>
      </c>
      <c r="K1819">
        <v>1005</v>
      </c>
      <c r="L18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20" spans="1:12" x14ac:dyDescent="0.3">
      <c r="A1820">
        <v>1819</v>
      </c>
      <c r="B1820" s="1">
        <v>45567</v>
      </c>
      <c r="C1820" s="1" t="str">
        <f>TEXT(RetailStore[[#This Row],[Date]],"mmm")</f>
        <v>Oct</v>
      </c>
      <c r="D1820">
        <v>2024</v>
      </c>
      <c r="E1820" t="s">
        <v>1833</v>
      </c>
      <c r="F1820" t="s">
        <v>11</v>
      </c>
      <c r="G1820">
        <v>62</v>
      </c>
      <c r="H1820" t="s">
        <v>15</v>
      </c>
      <c r="I1820">
        <v>1</v>
      </c>
      <c r="J1820">
        <v>146</v>
      </c>
      <c r="K1820">
        <v>146</v>
      </c>
      <c r="L18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21" spans="1:12" x14ac:dyDescent="0.3">
      <c r="A1821">
        <v>1820</v>
      </c>
      <c r="B1821" s="1">
        <v>45310</v>
      </c>
      <c r="C1821" s="1" t="str">
        <f>TEXT(RetailStore[[#This Row],[Date]],"mmm")</f>
        <v>Jan</v>
      </c>
      <c r="D1821">
        <v>2024</v>
      </c>
      <c r="E1821" t="s">
        <v>1834</v>
      </c>
      <c r="F1821" t="s">
        <v>11</v>
      </c>
      <c r="G1821">
        <v>27</v>
      </c>
      <c r="H1821" t="s">
        <v>20</v>
      </c>
      <c r="I1821">
        <v>2</v>
      </c>
      <c r="J1821">
        <v>93</v>
      </c>
      <c r="K1821">
        <v>186</v>
      </c>
      <c r="L18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22" spans="1:12" x14ac:dyDescent="0.3">
      <c r="A1822">
        <v>1821</v>
      </c>
      <c r="B1822" s="1">
        <v>45600</v>
      </c>
      <c r="C1822" s="1" t="str">
        <f>TEXT(RetailStore[[#This Row],[Date]],"mmm")</f>
        <v>Nov</v>
      </c>
      <c r="D1822">
        <v>2024</v>
      </c>
      <c r="E1822" t="s">
        <v>1835</v>
      </c>
      <c r="F1822" t="s">
        <v>11</v>
      </c>
      <c r="G1822">
        <v>55</v>
      </c>
      <c r="H1822" t="s">
        <v>20</v>
      </c>
      <c r="I1822">
        <v>3</v>
      </c>
      <c r="J1822">
        <v>90</v>
      </c>
      <c r="K1822">
        <v>270</v>
      </c>
      <c r="L18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23" spans="1:12" x14ac:dyDescent="0.3">
      <c r="A1823">
        <v>1822</v>
      </c>
      <c r="B1823" s="1">
        <v>45610</v>
      </c>
      <c r="C1823" s="1" t="str">
        <f>TEXT(RetailStore[[#This Row],[Date]],"mmm")</f>
        <v>Nov</v>
      </c>
      <c r="D1823">
        <v>2024</v>
      </c>
      <c r="E1823" t="s">
        <v>1836</v>
      </c>
      <c r="F1823" t="s">
        <v>18</v>
      </c>
      <c r="G1823">
        <v>22</v>
      </c>
      <c r="H1823" t="s">
        <v>12</v>
      </c>
      <c r="I1823">
        <v>3</v>
      </c>
      <c r="J1823">
        <v>158</v>
      </c>
      <c r="K1823">
        <v>474</v>
      </c>
      <c r="L18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24" spans="1:12" x14ac:dyDescent="0.3">
      <c r="A1824">
        <v>1823</v>
      </c>
      <c r="B1824" s="1">
        <v>45487</v>
      </c>
      <c r="C1824" s="1" t="str">
        <f>TEXT(RetailStore[[#This Row],[Date]],"mmm")</f>
        <v>Jul</v>
      </c>
      <c r="D1824">
        <v>2024</v>
      </c>
      <c r="E1824" t="s">
        <v>1837</v>
      </c>
      <c r="F1824" t="s">
        <v>11</v>
      </c>
      <c r="G1824">
        <v>43</v>
      </c>
      <c r="H1824" t="s">
        <v>20</v>
      </c>
      <c r="I1824">
        <v>1</v>
      </c>
      <c r="J1824">
        <v>155</v>
      </c>
      <c r="K1824">
        <v>155</v>
      </c>
      <c r="L18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25" spans="1:12" x14ac:dyDescent="0.3">
      <c r="A1825">
        <v>1824</v>
      </c>
      <c r="B1825" s="1">
        <v>45638</v>
      </c>
      <c r="C1825" s="1" t="str">
        <f>TEXT(RetailStore[[#This Row],[Date]],"mmm")</f>
        <v>Dec</v>
      </c>
      <c r="D1825">
        <v>2024</v>
      </c>
      <c r="E1825" t="s">
        <v>1838</v>
      </c>
      <c r="F1825" t="s">
        <v>18</v>
      </c>
      <c r="G1825">
        <v>62</v>
      </c>
      <c r="H1825" t="s">
        <v>15</v>
      </c>
      <c r="I1825">
        <v>2</v>
      </c>
      <c r="J1825">
        <v>61</v>
      </c>
      <c r="K1825">
        <v>122</v>
      </c>
      <c r="L18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26" spans="1:12" x14ac:dyDescent="0.3">
      <c r="A1826">
        <v>1825</v>
      </c>
      <c r="B1826" s="1">
        <v>45614</v>
      </c>
      <c r="C1826" s="1" t="str">
        <f>TEXT(RetailStore[[#This Row],[Date]],"mmm")</f>
        <v>Nov</v>
      </c>
      <c r="D1826">
        <v>2024</v>
      </c>
      <c r="E1826" t="s">
        <v>1839</v>
      </c>
      <c r="F1826" t="s">
        <v>18</v>
      </c>
      <c r="G1826">
        <v>58</v>
      </c>
      <c r="H1826" t="s">
        <v>12</v>
      </c>
      <c r="I1826">
        <v>2</v>
      </c>
      <c r="J1826">
        <v>390</v>
      </c>
      <c r="K1826">
        <v>780</v>
      </c>
      <c r="L18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27" spans="1:12" x14ac:dyDescent="0.3">
      <c r="A1827">
        <v>1826</v>
      </c>
      <c r="B1827" s="1">
        <v>45482</v>
      </c>
      <c r="C1827" s="1" t="str">
        <f>TEXT(RetailStore[[#This Row],[Date]],"mmm")</f>
        <v>Jul</v>
      </c>
      <c r="D1827">
        <v>2024</v>
      </c>
      <c r="E1827" t="s">
        <v>1840</v>
      </c>
      <c r="F1827" t="s">
        <v>11</v>
      </c>
      <c r="G1827">
        <v>44</v>
      </c>
      <c r="H1827" t="s">
        <v>15</v>
      </c>
      <c r="I1827">
        <v>3</v>
      </c>
      <c r="J1827">
        <v>428</v>
      </c>
      <c r="K1827">
        <v>1284</v>
      </c>
      <c r="L18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28" spans="1:12" x14ac:dyDescent="0.3">
      <c r="A1828">
        <v>1827</v>
      </c>
      <c r="B1828" s="1">
        <v>45514</v>
      </c>
      <c r="C1828" s="1" t="str">
        <f>TEXT(RetailStore[[#This Row],[Date]],"mmm")</f>
        <v>Aug</v>
      </c>
      <c r="D1828">
        <v>2024</v>
      </c>
      <c r="E1828" t="s">
        <v>1841</v>
      </c>
      <c r="F1828" t="s">
        <v>18</v>
      </c>
      <c r="G1828">
        <v>19</v>
      </c>
      <c r="H1828" t="s">
        <v>12</v>
      </c>
      <c r="I1828">
        <v>2</v>
      </c>
      <c r="J1828">
        <v>64</v>
      </c>
      <c r="K1828">
        <v>128</v>
      </c>
      <c r="L18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29" spans="1:12" x14ac:dyDescent="0.3">
      <c r="A1829">
        <v>1828</v>
      </c>
      <c r="B1829" s="1">
        <v>45430</v>
      </c>
      <c r="C1829" s="1" t="str">
        <f>TEXT(RetailStore[[#This Row],[Date]],"mmm")</f>
        <v>May</v>
      </c>
      <c r="D1829">
        <v>2024</v>
      </c>
      <c r="E1829" t="s">
        <v>1842</v>
      </c>
      <c r="F1829" t="s">
        <v>11</v>
      </c>
      <c r="G1829">
        <v>52</v>
      </c>
      <c r="H1829" t="s">
        <v>15</v>
      </c>
      <c r="I1829">
        <v>4</v>
      </c>
      <c r="J1829">
        <v>58</v>
      </c>
      <c r="K1829">
        <v>232</v>
      </c>
      <c r="L18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30" spans="1:12" x14ac:dyDescent="0.3">
      <c r="A1830">
        <v>1829</v>
      </c>
      <c r="B1830" s="1">
        <v>45460</v>
      </c>
      <c r="C1830" s="1" t="str">
        <f>TEXT(RetailStore[[#This Row],[Date]],"mmm")</f>
        <v>Jun</v>
      </c>
      <c r="D1830">
        <v>2024</v>
      </c>
      <c r="E1830" t="s">
        <v>1843</v>
      </c>
      <c r="F1830" t="s">
        <v>11</v>
      </c>
      <c r="G1830">
        <v>41</v>
      </c>
      <c r="H1830" t="s">
        <v>20</v>
      </c>
      <c r="I1830">
        <v>3</v>
      </c>
      <c r="J1830">
        <v>99</v>
      </c>
      <c r="K1830">
        <v>297</v>
      </c>
      <c r="L18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31" spans="1:12" x14ac:dyDescent="0.3">
      <c r="A1831">
        <v>1830</v>
      </c>
      <c r="B1831" s="1">
        <v>45407</v>
      </c>
      <c r="C1831" s="1" t="str">
        <f>TEXT(RetailStore[[#This Row],[Date]],"mmm")</f>
        <v>Apr</v>
      </c>
      <c r="D1831">
        <v>2024</v>
      </c>
      <c r="E1831" t="s">
        <v>1844</v>
      </c>
      <c r="F1831" t="s">
        <v>18</v>
      </c>
      <c r="G1831">
        <v>18</v>
      </c>
      <c r="H1831" t="s">
        <v>15</v>
      </c>
      <c r="I1831">
        <v>4</v>
      </c>
      <c r="J1831">
        <v>138</v>
      </c>
      <c r="K1831">
        <v>552</v>
      </c>
      <c r="L18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32" spans="1:12" x14ac:dyDescent="0.3">
      <c r="A1832">
        <v>1831</v>
      </c>
      <c r="B1832" s="1">
        <v>45485</v>
      </c>
      <c r="C1832" s="1" t="str">
        <f>TEXT(RetailStore[[#This Row],[Date]],"mmm")</f>
        <v>Jul</v>
      </c>
      <c r="D1832">
        <v>2024</v>
      </c>
      <c r="E1832" t="s">
        <v>1845</v>
      </c>
      <c r="F1832" t="s">
        <v>11</v>
      </c>
      <c r="G1832">
        <v>25</v>
      </c>
      <c r="H1832" t="s">
        <v>15</v>
      </c>
      <c r="I1832">
        <v>3</v>
      </c>
      <c r="J1832">
        <v>326</v>
      </c>
      <c r="K1832">
        <v>978</v>
      </c>
      <c r="L18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33" spans="1:12" x14ac:dyDescent="0.3">
      <c r="A1833">
        <v>1832</v>
      </c>
      <c r="B1833" s="1">
        <v>45542</v>
      </c>
      <c r="C1833" s="1" t="str">
        <f>TEXT(RetailStore[[#This Row],[Date]],"mmm")</f>
        <v>Sep</v>
      </c>
      <c r="D1833">
        <v>2024</v>
      </c>
      <c r="E1833" t="s">
        <v>1846</v>
      </c>
      <c r="F1833" t="s">
        <v>11</v>
      </c>
      <c r="G1833">
        <v>51</v>
      </c>
      <c r="H1833" t="s">
        <v>20</v>
      </c>
      <c r="I1833">
        <v>3</v>
      </c>
      <c r="J1833">
        <v>307</v>
      </c>
      <c r="K1833">
        <v>921</v>
      </c>
      <c r="L18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34" spans="1:12" x14ac:dyDescent="0.3">
      <c r="A1834">
        <v>1833</v>
      </c>
      <c r="B1834" s="1">
        <v>45430</v>
      </c>
      <c r="C1834" s="1" t="str">
        <f>TEXT(RetailStore[[#This Row],[Date]],"mmm")</f>
        <v>May</v>
      </c>
      <c r="D1834">
        <v>2024</v>
      </c>
      <c r="E1834" t="s">
        <v>1847</v>
      </c>
      <c r="F1834" t="s">
        <v>11</v>
      </c>
      <c r="G1834">
        <v>21</v>
      </c>
      <c r="H1834" t="s">
        <v>15</v>
      </c>
      <c r="I1834">
        <v>3</v>
      </c>
      <c r="J1834">
        <v>409</v>
      </c>
      <c r="K1834">
        <v>1227</v>
      </c>
      <c r="L18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35" spans="1:12" x14ac:dyDescent="0.3">
      <c r="A1835">
        <v>1834</v>
      </c>
      <c r="B1835" s="1">
        <v>45491</v>
      </c>
      <c r="C1835" s="1" t="str">
        <f>TEXT(RetailStore[[#This Row],[Date]],"mmm")</f>
        <v>Jul</v>
      </c>
      <c r="D1835">
        <v>2024</v>
      </c>
      <c r="E1835" t="s">
        <v>1848</v>
      </c>
      <c r="F1835" t="s">
        <v>11</v>
      </c>
      <c r="G1835">
        <v>40</v>
      </c>
      <c r="H1835" t="s">
        <v>12</v>
      </c>
      <c r="I1835">
        <v>4</v>
      </c>
      <c r="J1835">
        <v>269</v>
      </c>
      <c r="K1835">
        <v>1076</v>
      </c>
      <c r="L18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36" spans="1:12" x14ac:dyDescent="0.3">
      <c r="A1836">
        <v>1835</v>
      </c>
      <c r="B1836" s="1">
        <v>45595</v>
      </c>
      <c r="C1836" s="1" t="str">
        <f>TEXT(RetailStore[[#This Row],[Date]],"mmm")</f>
        <v>Oct</v>
      </c>
      <c r="D1836">
        <v>2024</v>
      </c>
      <c r="E1836" t="s">
        <v>1849</v>
      </c>
      <c r="F1836" t="s">
        <v>11</v>
      </c>
      <c r="G1836">
        <v>34</v>
      </c>
      <c r="H1836" t="s">
        <v>15</v>
      </c>
      <c r="I1836">
        <v>2</v>
      </c>
      <c r="J1836">
        <v>361</v>
      </c>
      <c r="K1836">
        <v>722</v>
      </c>
      <c r="L18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37" spans="1:12" x14ac:dyDescent="0.3">
      <c r="A1837">
        <v>1836</v>
      </c>
      <c r="B1837" s="1">
        <v>45356</v>
      </c>
      <c r="C1837" s="1" t="str">
        <f>TEXT(RetailStore[[#This Row],[Date]],"mmm")</f>
        <v>Mar</v>
      </c>
      <c r="D1837">
        <v>2024</v>
      </c>
      <c r="E1837" t="s">
        <v>1850</v>
      </c>
      <c r="F1837" t="s">
        <v>11</v>
      </c>
      <c r="G1837">
        <v>42</v>
      </c>
      <c r="H1837" t="s">
        <v>12</v>
      </c>
      <c r="I1837">
        <v>3</v>
      </c>
      <c r="J1837">
        <v>52</v>
      </c>
      <c r="K1837">
        <v>156</v>
      </c>
      <c r="L18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38" spans="1:12" x14ac:dyDescent="0.3">
      <c r="A1838">
        <v>1837</v>
      </c>
      <c r="B1838" s="1">
        <v>45619</v>
      </c>
      <c r="C1838" s="1" t="str">
        <f>TEXT(RetailStore[[#This Row],[Date]],"mmm")</f>
        <v>Nov</v>
      </c>
      <c r="D1838">
        <v>2024</v>
      </c>
      <c r="E1838" t="s">
        <v>1851</v>
      </c>
      <c r="F1838" t="s">
        <v>18</v>
      </c>
      <c r="G1838">
        <v>63</v>
      </c>
      <c r="H1838" t="s">
        <v>15</v>
      </c>
      <c r="I1838">
        <v>4</v>
      </c>
      <c r="J1838">
        <v>386</v>
      </c>
      <c r="K1838">
        <v>1544</v>
      </c>
      <c r="L18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39" spans="1:12" x14ac:dyDescent="0.3">
      <c r="A1839">
        <v>1838</v>
      </c>
      <c r="B1839" s="1">
        <v>45526</v>
      </c>
      <c r="C1839" s="1" t="str">
        <f>TEXT(RetailStore[[#This Row],[Date]],"mmm")</f>
        <v>Aug</v>
      </c>
      <c r="D1839">
        <v>2024</v>
      </c>
      <c r="E1839" t="s">
        <v>1852</v>
      </c>
      <c r="F1839" t="s">
        <v>11</v>
      </c>
      <c r="G1839">
        <v>46</v>
      </c>
      <c r="H1839" t="s">
        <v>20</v>
      </c>
      <c r="I1839">
        <v>4</v>
      </c>
      <c r="J1839">
        <v>282</v>
      </c>
      <c r="K1839">
        <v>1128</v>
      </c>
      <c r="L18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40" spans="1:12" x14ac:dyDescent="0.3">
      <c r="A1840">
        <v>1839</v>
      </c>
      <c r="B1840" s="1">
        <v>45438</v>
      </c>
      <c r="C1840" s="1" t="str">
        <f>TEXT(RetailStore[[#This Row],[Date]],"mmm")</f>
        <v>May</v>
      </c>
      <c r="D1840">
        <v>2024</v>
      </c>
      <c r="E1840" t="s">
        <v>1853</v>
      </c>
      <c r="F1840" t="s">
        <v>18</v>
      </c>
      <c r="G1840">
        <v>45</v>
      </c>
      <c r="H1840" t="s">
        <v>12</v>
      </c>
      <c r="I1840">
        <v>2</v>
      </c>
      <c r="J1840">
        <v>181</v>
      </c>
      <c r="K1840">
        <v>362</v>
      </c>
      <c r="L18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41" spans="1:12" x14ac:dyDescent="0.3">
      <c r="A1841">
        <v>1840</v>
      </c>
      <c r="B1841" s="1">
        <v>45617</v>
      </c>
      <c r="C1841" s="1" t="str">
        <f>TEXT(RetailStore[[#This Row],[Date]],"mmm")</f>
        <v>Nov</v>
      </c>
      <c r="D1841">
        <v>2024</v>
      </c>
      <c r="E1841" t="s">
        <v>1854</v>
      </c>
      <c r="F1841" t="s">
        <v>11</v>
      </c>
      <c r="G1841">
        <v>37</v>
      </c>
      <c r="H1841" t="s">
        <v>20</v>
      </c>
      <c r="I1841">
        <v>3</v>
      </c>
      <c r="J1841">
        <v>457</v>
      </c>
      <c r="K1841">
        <v>1371</v>
      </c>
      <c r="L18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42" spans="1:12" x14ac:dyDescent="0.3">
      <c r="A1842">
        <v>1841</v>
      </c>
      <c r="B1842" s="1">
        <v>45338</v>
      </c>
      <c r="C1842" s="1" t="str">
        <f>TEXT(RetailStore[[#This Row],[Date]],"mmm")</f>
        <v>Feb</v>
      </c>
      <c r="D1842">
        <v>2024</v>
      </c>
      <c r="E1842" t="s">
        <v>1855</v>
      </c>
      <c r="F1842" t="s">
        <v>11</v>
      </c>
      <c r="G1842">
        <v>22</v>
      </c>
      <c r="H1842" t="s">
        <v>12</v>
      </c>
      <c r="I1842">
        <v>2</v>
      </c>
      <c r="J1842">
        <v>72</v>
      </c>
      <c r="K1842">
        <v>144</v>
      </c>
      <c r="L18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43" spans="1:12" x14ac:dyDescent="0.3">
      <c r="A1843">
        <v>1842</v>
      </c>
      <c r="B1843" s="1">
        <v>45376</v>
      </c>
      <c r="C1843" s="1" t="str">
        <f>TEXT(RetailStore[[#This Row],[Date]],"mmm")</f>
        <v>Mar</v>
      </c>
      <c r="D1843">
        <v>2024</v>
      </c>
      <c r="E1843" t="s">
        <v>1856</v>
      </c>
      <c r="F1843" t="s">
        <v>11</v>
      </c>
      <c r="G1843">
        <v>23</v>
      </c>
      <c r="H1843" t="s">
        <v>12</v>
      </c>
      <c r="I1843">
        <v>3</v>
      </c>
      <c r="J1843">
        <v>308</v>
      </c>
      <c r="K1843">
        <v>924</v>
      </c>
      <c r="L18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44" spans="1:12" x14ac:dyDescent="0.3">
      <c r="A1844">
        <v>1843</v>
      </c>
      <c r="B1844" s="1">
        <v>45544</v>
      </c>
      <c r="C1844" s="1" t="str">
        <f>TEXT(RetailStore[[#This Row],[Date]],"mmm")</f>
        <v>Sep</v>
      </c>
      <c r="D1844">
        <v>2024</v>
      </c>
      <c r="E1844" t="s">
        <v>1857</v>
      </c>
      <c r="F1844" t="s">
        <v>11</v>
      </c>
      <c r="G1844">
        <v>45</v>
      </c>
      <c r="H1844" t="s">
        <v>12</v>
      </c>
      <c r="I1844">
        <v>2</v>
      </c>
      <c r="J1844">
        <v>270</v>
      </c>
      <c r="K1844">
        <v>540</v>
      </c>
      <c r="L18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45" spans="1:12" x14ac:dyDescent="0.3">
      <c r="A1845">
        <v>1844</v>
      </c>
      <c r="B1845" s="1">
        <v>45546</v>
      </c>
      <c r="C1845" s="1" t="str">
        <f>TEXT(RetailStore[[#This Row],[Date]],"mmm")</f>
        <v>Sep</v>
      </c>
      <c r="D1845">
        <v>2024</v>
      </c>
      <c r="E1845" t="s">
        <v>1858</v>
      </c>
      <c r="F1845" t="s">
        <v>11</v>
      </c>
      <c r="G1845">
        <v>43</v>
      </c>
      <c r="H1845" t="s">
        <v>15</v>
      </c>
      <c r="I1845">
        <v>2</v>
      </c>
      <c r="J1845">
        <v>491</v>
      </c>
      <c r="K1845">
        <v>982</v>
      </c>
      <c r="L18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46" spans="1:12" x14ac:dyDescent="0.3">
      <c r="A1846">
        <v>1845</v>
      </c>
      <c r="B1846" s="1">
        <v>45295</v>
      </c>
      <c r="C1846" s="1" t="str">
        <f>TEXT(RetailStore[[#This Row],[Date]],"mmm")</f>
        <v>Jan</v>
      </c>
      <c r="D1846">
        <v>2024</v>
      </c>
      <c r="E1846" t="s">
        <v>1859</v>
      </c>
      <c r="F1846" t="s">
        <v>18</v>
      </c>
      <c r="G1846">
        <v>62</v>
      </c>
      <c r="H1846" t="s">
        <v>12</v>
      </c>
      <c r="I1846">
        <v>3</v>
      </c>
      <c r="J1846">
        <v>150</v>
      </c>
      <c r="K1846">
        <v>450</v>
      </c>
      <c r="L18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47" spans="1:12" x14ac:dyDescent="0.3">
      <c r="A1847">
        <v>1846</v>
      </c>
      <c r="B1847" s="1">
        <v>45630</v>
      </c>
      <c r="C1847" s="1" t="str">
        <f>TEXT(RetailStore[[#This Row],[Date]],"mmm")</f>
        <v>Dec</v>
      </c>
      <c r="D1847">
        <v>2024</v>
      </c>
      <c r="E1847" t="s">
        <v>1860</v>
      </c>
      <c r="F1847" t="s">
        <v>11</v>
      </c>
      <c r="G1847">
        <v>56</v>
      </c>
      <c r="H1847" t="s">
        <v>20</v>
      </c>
      <c r="I1847">
        <v>2</v>
      </c>
      <c r="J1847">
        <v>370</v>
      </c>
      <c r="K1847">
        <v>740</v>
      </c>
      <c r="L18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48" spans="1:12" x14ac:dyDescent="0.3">
      <c r="A1848">
        <v>1847</v>
      </c>
      <c r="B1848" s="1">
        <v>45560</v>
      </c>
      <c r="C1848" s="1" t="str">
        <f>TEXT(RetailStore[[#This Row],[Date]],"mmm")</f>
        <v>Sep</v>
      </c>
      <c r="D1848">
        <v>2024</v>
      </c>
      <c r="E1848" t="s">
        <v>1861</v>
      </c>
      <c r="F1848" t="s">
        <v>11</v>
      </c>
      <c r="G1848">
        <v>29</v>
      </c>
      <c r="H1848" t="s">
        <v>15</v>
      </c>
      <c r="I1848">
        <v>3</v>
      </c>
      <c r="J1848">
        <v>454</v>
      </c>
      <c r="K1848">
        <v>1362</v>
      </c>
      <c r="L18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49" spans="1:12" x14ac:dyDescent="0.3">
      <c r="A1849">
        <v>1848</v>
      </c>
      <c r="B1849" s="1">
        <v>45360</v>
      </c>
      <c r="C1849" s="1" t="str">
        <f>TEXT(RetailStore[[#This Row],[Date]],"mmm")</f>
        <v>Mar</v>
      </c>
      <c r="D1849">
        <v>2024</v>
      </c>
      <c r="E1849" t="s">
        <v>1862</v>
      </c>
      <c r="F1849" t="s">
        <v>18</v>
      </c>
      <c r="G1849">
        <v>21</v>
      </c>
      <c r="H1849" t="s">
        <v>20</v>
      </c>
      <c r="I1849">
        <v>4</v>
      </c>
      <c r="J1849">
        <v>219</v>
      </c>
      <c r="K1849">
        <v>876</v>
      </c>
      <c r="L18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0" spans="1:12" x14ac:dyDescent="0.3">
      <c r="A1850">
        <v>1849</v>
      </c>
      <c r="B1850" s="1">
        <v>45379</v>
      </c>
      <c r="C1850" s="1" t="str">
        <f>TEXT(RetailStore[[#This Row],[Date]],"mmm")</f>
        <v>Mar</v>
      </c>
      <c r="D1850">
        <v>2024</v>
      </c>
      <c r="E1850" t="s">
        <v>1863</v>
      </c>
      <c r="F1850" t="s">
        <v>18</v>
      </c>
      <c r="G1850">
        <v>25</v>
      </c>
      <c r="H1850" t="s">
        <v>20</v>
      </c>
      <c r="I1850">
        <v>2</v>
      </c>
      <c r="J1850">
        <v>450</v>
      </c>
      <c r="K1850">
        <v>900</v>
      </c>
      <c r="L18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1" spans="1:12" x14ac:dyDescent="0.3">
      <c r="A1851">
        <v>1850</v>
      </c>
      <c r="B1851" s="1">
        <v>45568</v>
      </c>
      <c r="C1851" s="1" t="str">
        <f>TEXT(RetailStore[[#This Row],[Date]],"mmm")</f>
        <v>Oct</v>
      </c>
      <c r="D1851">
        <v>2024</v>
      </c>
      <c r="E1851" t="s">
        <v>1864</v>
      </c>
      <c r="F1851" t="s">
        <v>11</v>
      </c>
      <c r="G1851">
        <v>36</v>
      </c>
      <c r="H1851" t="s">
        <v>20</v>
      </c>
      <c r="I1851">
        <v>4</v>
      </c>
      <c r="J1851">
        <v>175</v>
      </c>
      <c r="K1851">
        <v>700</v>
      </c>
      <c r="L18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52" spans="1:12" x14ac:dyDescent="0.3">
      <c r="A1852">
        <v>1851</v>
      </c>
      <c r="B1852" s="1">
        <v>45427</v>
      </c>
      <c r="C1852" s="1" t="str">
        <f>TEXT(RetailStore[[#This Row],[Date]],"mmm")</f>
        <v>May</v>
      </c>
      <c r="D1852">
        <v>2024</v>
      </c>
      <c r="E1852" t="s">
        <v>1865</v>
      </c>
      <c r="F1852" t="s">
        <v>11</v>
      </c>
      <c r="G1852">
        <v>18</v>
      </c>
      <c r="H1852" t="s">
        <v>12</v>
      </c>
      <c r="I1852">
        <v>4</v>
      </c>
      <c r="J1852">
        <v>136</v>
      </c>
      <c r="K1852">
        <v>544</v>
      </c>
      <c r="L18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3" spans="1:12" x14ac:dyDescent="0.3">
      <c r="A1853">
        <v>1852</v>
      </c>
      <c r="B1853" s="1">
        <v>45448</v>
      </c>
      <c r="C1853" s="1" t="str">
        <f>TEXT(RetailStore[[#This Row],[Date]],"mmm")</f>
        <v>Jun</v>
      </c>
      <c r="D1853">
        <v>2024</v>
      </c>
      <c r="E1853" t="s">
        <v>1866</v>
      </c>
      <c r="F1853" t="s">
        <v>11</v>
      </c>
      <c r="G1853">
        <v>47</v>
      </c>
      <c r="H1853" t="s">
        <v>12</v>
      </c>
      <c r="I1853">
        <v>4</v>
      </c>
      <c r="J1853">
        <v>54</v>
      </c>
      <c r="K1853">
        <v>216</v>
      </c>
      <c r="L18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4" spans="1:12" x14ac:dyDescent="0.3">
      <c r="A1854">
        <v>1853</v>
      </c>
      <c r="B1854" s="1">
        <v>45474</v>
      </c>
      <c r="C1854" s="1" t="str">
        <f>TEXT(RetailStore[[#This Row],[Date]],"mmm")</f>
        <v>Jul</v>
      </c>
      <c r="D1854">
        <v>2024</v>
      </c>
      <c r="E1854" t="s">
        <v>1867</v>
      </c>
      <c r="F1854" t="s">
        <v>11</v>
      </c>
      <c r="G1854">
        <v>57</v>
      </c>
      <c r="H1854" t="s">
        <v>20</v>
      </c>
      <c r="I1854">
        <v>3</v>
      </c>
      <c r="J1854">
        <v>177</v>
      </c>
      <c r="K1854">
        <v>531</v>
      </c>
      <c r="L18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55" spans="1:12" x14ac:dyDescent="0.3">
      <c r="A1855">
        <v>1854</v>
      </c>
      <c r="B1855" s="1">
        <v>45473</v>
      </c>
      <c r="C1855" s="1" t="str">
        <f>TEXT(RetailStore[[#This Row],[Date]],"mmm")</f>
        <v>Jun</v>
      </c>
      <c r="D1855">
        <v>2024</v>
      </c>
      <c r="E1855" t="s">
        <v>1868</v>
      </c>
      <c r="F1855" t="s">
        <v>11</v>
      </c>
      <c r="G1855">
        <v>18</v>
      </c>
      <c r="H1855" t="s">
        <v>20</v>
      </c>
      <c r="I1855">
        <v>2</v>
      </c>
      <c r="J1855">
        <v>230</v>
      </c>
      <c r="K1855">
        <v>460</v>
      </c>
      <c r="L18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6" spans="1:12" x14ac:dyDescent="0.3">
      <c r="A1856">
        <v>1855</v>
      </c>
      <c r="B1856" s="1">
        <v>45473</v>
      </c>
      <c r="C1856" s="1" t="str">
        <f>TEXT(RetailStore[[#This Row],[Date]],"mmm")</f>
        <v>Jun</v>
      </c>
      <c r="D1856">
        <v>2024</v>
      </c>
      <c r="E1856" t="s">
        <v>1869</v>
      </c>
      <c r="F1856" t="s">
        <v>11</v>
      </c>
      <c r="G1856">
        <v>24</v>
      </c>
      <c r="H1856" t="s">
        <v>20</v>
      </c>
      <c r="I1856">
        <v>4</v>
      </c>
      <c r="J1856">
        <v>126</v>
      </c>
      <c r="K1856">
        <v>504</v>
      </c>
      <c r="L18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7" spans="1:12" x14ac:dyDescent="0.3">
      <c r="A1857">
        <v>1856</v>
      </c>
      <c r="B1857" s="1">
        <v>45335</v>
      </c>
      <c r="C1857" s="1" t="str">
        <f>TEXT(RetailStore[[#This Row],[Date]],"mmm")</f>
        <v>Feb</v>
      </c>
      <c r="D1857">
        <v>2024</v>
      </c>
      <c r="E1857" t="s">
        <v>1870</v>
      </c>
      <c r="F1857" t="s">
        <v>11</v>
      </c>
      <c r="G1857">
        <v>44</v>
      </c>
      <c r="H1857" t="s">
        <v>15</v>
      </c>
      <c r="I1857">
        <v>4</v>
      </c>
      <c r="J1857">
        <v>28</v>
      </c>
      <c r="K1857">
        <v>112</v>
      </c>
      <c r="L18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58" spans="1:12" x14ac:dyDescent="0.3">
      <c r="A1858">
        <v>1857</v>
      </c>
      <c r="B1858" s="1">
        <v>45371</v>
      </c>
      <c r="C1858" s="1" t="str">
        <f>TEXT(RetailStore[[#This Row],[Date]],"mmm")</f>
        <v>Mar</v>
      </c>
      <c r="D1858">
        <v>2024</v>
      </c>
      <c r="E1858" t="s">
        <v>1871</v>
      </c>
      <c r="F1858" t="s">
        <v>18</v>
      </c>
      <c r="G1858">
        <v>32</v>
      </c>
      <c r="H1858" t="s">
        <v>20</v>
      </c>
      <c r="I1858">
        <v>4</v>
      </c>
      <c r="J1858">
        <v>216</v>
      </c>
      <c r="K1858">
        <v>864</v>
      </c>
      <c r="L18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59" spans="1:12" x14ac:dyDescent="0.3">
      <c r="A1859">
        <v>1858</v>
      </c>
      <c r="B1859" s="1">
        <v>45445</v>
      </c>
      <c r="C1859" s="1" t="str">
        <f>TEXT(RetailStore[[#This Row],[Date]],"mmm")</f>
        <v>Jun</v>
      </c>
      <c r="D1859">
        <v>2024</v>
      </c>
      <c r="E1859" t="s">
        <v>1872</v>
      </c>
      <c r="F1859" t="s">
        <v>18</v>
      </c>
      <c r="G1859">
        <v>45</v>
      </c>
      <c r="H1859" t="s">
        <v>15</v>
      </c>
      <c r="I1859">
        <v>3</v>
      </c>
      <c r="J1859">
        <v>80</v>
      </c>
      <c r="K1859">
        <v>240</v>
      </c>
      <c r="L18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60" spans="1:12" x14ac:dyDescent="0.3">
      <c r="A1860">
        <v>1859</v>
      </c>
      <c r="B1860" s="1">
        <v>45516</v>
      </c>
      <c r="C1860" s="1" t="str">
        <f>TEXT(RetailStore[[#This Row],[Date]],"mmm")</f>
        <v>Aug</v>
      </c>
      <c r="D1860">
        <v>2024</v>
      </c>
      <c r="E1860" t="s">
        <v>1873</v>
      </c>
      <c r="F1860" t="s">
        <v>18</v>
      </c>
      <c r="G1860">
        <v>28</v>
      </c>
      <c r="H1860" t="s">
        <v>15</v>
      </c>
      <c r="I1860">
        <v>3</v>
      </c>
      <c r="J1860">
        <v>407</v>
      </c>
      <c r="K1860">
        <v>1221</v>
      </c>
      <c r="L18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61" spans="1:12" x14ac:dyDescent="0.3">
      <c r="A1861">
        <v>1860</v>
      </c>
      <c r="B1861" s="1">
        <v>45514</v>
      </c>
      <c r="C1861" s="1" t="str">
        <f>TEXT(RetailStore[[#This Row],[Date]],"mmm")</f>
        <v>Aug</v>
      </c>
      <c r="D1861">
        <v>2024</v>
      </c>
      <c r="E1861" t="s">
        <v>1874</v>
      </c>
      <c r="F1861" t="s">
        <v>11</v>
      </c>
      <c r="G1861">
        <v>40</v>
      </c>
      <c r="H1861" t="s">
        <v>12</v>
      </c>
      <c r="I1861">
        <v>2</v>
      </c>
      <c r="J1861">
        <v>81</v>
      </c>
      <c r="K1861">
        <v>162</v>
      </c>
      <c r="L18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62" spans="1:12" x14ac:dyDescent="0.3">
      <c r="A1862">
        <v>1861</v>
      </c>
      <c r="B1862" s="1">
        <v>45389</v>
      </c>
      <c r="C1862" s="1" t="str">
        <f>TEXT(RetailStore[[#This Row],[Date]],"mmm")</f>
        <v>Apr</v>
      </c>
      <c r="D1862">
        <v>2024</v>
      </c>
      <c r="E1862" t="s">
        <v>1875</v>
      </c>
      <c r="F1862" t="s">
        <v>18</v>
      </c>
      <c r="G1862">
        <v>20</v>
      </c>
      <c r="H1862" t="s">
        <v>15</v>
      </c>
      <c r="I1862">
        <v>4</v>
      </c>
      <c r="J1862">
        <v>240</v>
      </c>
      <c r="K1862">
        <v>960</v>
      </c>
      <c r="L18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63" spans="1:12" x14ac:dyDescent="0.3">
      <c r="A1863">
        <v>1862</v>
      </c>
      <c r="B1863" s="1">
        <v>45461</v>
      </c>
      <c r="C1863" s="1" t="str">
        <f>TEXT(RetailStore[[#This Row],[Date]],"mmm")</f>
        <v>Jun</v>
      </c>
      <c r="D1863">
        <v>2024</v>
      </c>
      <c r="E1863" t="s">
        <v>1876</v>
      </c>
      <c r="F1863" t="s">
        <v>11</v>
      </c>
      <c r="G1863">
        <v>28</v>
      </c>
      <c r="H1863" t="s">
        <v>12</v>
      </c>
      <c r="I1863">
        <v>2</v>
      </c>
      <c r="J1863">
        <v>270</v>
      </c>
      <c r="K1863">
        <v>540</v>
      </c>
      <c r="L18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64" spans="1:12" x14ac:dyDescent="0.3">
      <c r="A1864">
        <v>1863</v>
      </c>
      <c r="B1864" s="1">
        <v>45632</v>
      </c>
      <c r="C1864" s="1" t="str">
        <f>TEXT(RetailStore[[#This Row],[Date]],"mmm")</f>
        <v>Dec</v>
      </c>
      <c r="D1864">
        <v>2024</v>
      </c>
      <c r="E1864" t="s">
        <v>1877</v>
      </c>
      <c r="F1864" t="s">
        <v>18</v>
      </c>
      <c r="G1864">
        <v>25</v>
      </c>
      <c r="H1864" t="s">
        <v>20</v>
      </c>
      <c r="I1864">
        <v>4</v>
      </c>
      <c r="J1864">
        <v>306</v>
      </c>
      <c r="K1864">
        <v>1224</v>
      </c>
      <c r="L18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65" spans="1:12" x14ac:dyDescent="0.3">
      <c r="A1865">
        <v>1864</v>
      </c>
      <c r="B1865" s="1">
        <v>45545</v>
      </c>
      <c r="C1865" s="1" t="str">
        <f>TEXT(RetailStore[[#This Row],[Date]],"mmm")</f>
        <v>Sep</v>
      </c>
      <c r="D1865">
        <v>2024</v>
      </c>
      <c r="E1865" t="s">
        <v>1878</v>
      </c>
      <c r="F1865" t="s">
        <v>11</v>
      </c>
      <c r="G1865">
        <v>38</v>
      </c>
      <c r="H1865" t="s">
        <v>20</v>
      </c>
      <c r="I1865">
        <v>4</v>
      </c>
      <c r="J1865">
        <v>92</v>
      </c>
      <c r="K1865">
        <v>368</v>
      </c>
      <c r="L18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66" spans="1:12" x14ac:dyDescent="0.3">
      <c r="A1866">
        <v>1865</v>
      </c>
      <c r="B1866" s="1">
        <v>45348</v>
      </c>
      <c r="C1866" s="1" t="str">
        <f>TEXT(RetailStore[[#This Row],[Date]],"mmm")</f>
        <v>Feb</v>
      </c>
      <c r="D1866">
        <v>2024</v>
      </c>
      <c r="E1866" t="s">
        <v>1879</v>
      </c>
      <c r="F1866" t="s">
        <v>11</v>
      </c>
      <c r="G1866">
        <v>19</v>
      </c>
      <c r="H1866" t="s">
        <v>15</v>
      </c>
      <c r="I1866">
        <v>2</v>
      </c>
      <c r="J1866">
        <v>201</v>
      </c>
      <c r="K1866">
        <v>402</v>
      </c>
      <c r="L18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67" spans="1:12" x14ac:dyDescent="0.3">
      <c r="A1867">
        <v>1866</v>
      </c>
      <c r="B1867" s="1">
        <v>45548</v>
      </c>
      <c r="C1867" s="1" t="str">
        <f>TEXT(RetailStore[[#This Row],[Date]],"mmm")</f>
        <v>Sep</v>
      </c>
      <c r="D1867">
        <v>2024</v>
      </c>
      <c r="E1867" t="s">
        <v>1880</v>
      </c>
      <c r="F1867" t="s">
        <v>11</v>
      </c>
      <c r="G1867">
        <v>61</v>
      </c>
      <c r="H1867" t="s">
        <v>15</v>
      </c>
      <c r="I1867">
        <v>1</v>
      </c>
      <c r="J1867">
        <v>372</v>
      </c>
      <c r="K1867">
        <v>372</v>
      </c>
      <c r="L18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68" spans="1:12" x14ac:dyDescent="0.3">
      <c r="A1868">
        <v>1867</v>
      </c>
      <c r="B1868" s="1">
        <v>45467</v>
      </c>
      <c r="C1868" s="1" t="str">
        <f>TEXT(RetailStore[[#This Row],[Date]],"mmm")</f>
        <v>Jun</v>
      </c>
      <c r="D1868">
        <v>2024</v>
      </c>
      <c r="E1868" t="s">
        <v>1881</v>
      </c>
      <c r="F1868" t="s">
        <v>18</v>
      </c>
      <c r="G1868">
        <v>56</v>
      </c>
      <c r="H1868" t="s">
        <v>12</v>
      </c>
      <c r="I1868">
        <v>1</v>
      </c>
      <c r="J1868">
        <v>247</v>
      </c>
      <c r="K1868">
        <v>247</v>
      </c>
      <c r="L18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69" spans="1:12" x14ac:dyDescent="0.3">
      <c r="A1869">
        <v>1868</v>
      </c>
      <c r="B1869" s="1">
        <v>45537</v>
      </c>
      <c r="C1869" s="1" t="str">
        <f>TEXT(RetailStore[[#This Row],[Date]],"mmm")</f>
        <v>Sep</v>
      </c>
      <c r="D1869">
        <v>2024</v>
      </c>
      <c r="E1869" t="s">
        <v>1882</v>
      </c>
      <c r="F1869" t="s">
        <v>18</v>
      </c>
      <c r="G1869">
        <v>36</v>
      </c>
      <c r="H1869" t="s">
        <v>20</v>
      </c>
      <c r="I1869">
        <v>1</v>
      </c>
      <c r="J1869">
        <v>414</v>
      </c>
      <c r="K1869">
        <v>414</v>
      </c>
      <c r="L18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70" spans="1:12" x14ac:dyDescent="0.3">
      <c r="A1870">
        <v>1869</v>
      </c>
      <c r="B1870" s="1">
        <v>45511</v>
      </c>
      <c r="C1870" s="1" t="str">
        <f>TEXT(RetailStore[[#This Row],[Date]],"mmm")</f>
        <v>Aug</v>
      </c>
      <c r="D1870">
        <v>2024</v>
      </c>
      <c r="E1870" t="s">
        <v>1883</v>
      </c>
      <c r="F1870" t="s">
        <v>11</v>
      </c>
      <c r="G1870">
        <v>57</v>
      </c>
      <c r="H1870" t="s">
        <v>15</v>
      </c>
      <c r="I1870">
        <v>2</v>
      </c>
      <c r="J1870">
        <v>152</v>
      </c>
      <c r="K1870">
        <v>304</v>
      </c>
      <c r="L18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71" spans="1:12" x14ac:dyDescent="0.3">
      <c r="A1871">
        <v>1870</v>
      </c>
      <c r="B1871" s="1">
        <v>45435</v>
      </c>
      <c r="C1871" s="1" t="str">
        <f>TEXT(RetailStore[[#This Row],[Date]],"mmm")</f>
        <v>May</v>
      </c>
      <c r="D1871">
        <v>2024</v>
      </c>
      <c r="E1871" t="s">
        <v>1884</v>
      </c>
      <c r="F1871" t="s">
        <v>11</v>
      </c>
      <c r="G1871">
        <v>34</v>
      </c>
      <c r="H1871" t="s">
        <v>12</v>
      </c>
      <c r="I1871">
        <v>2</v>
      </c>
      <c r="J1871">
        <v>366</v>
      </c>
      <c r="K1871">
        <v>732</v>
      </c>
      <c r="L18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72" spans="1:12" x14ac:dyDescent="0.3">
      <c r="A1872">
        <v>1871</v>
      </c>
      <c r="B1872" s="1">
        <v>45511</v>
      </c>
      <c r="C1872" s="1" t="str">
        <f>TEXT(RetailStore[[#This Row],[Date]],"mmm")</f>
        <v>Aug</v>
      </c>
      <c r="D1872">
        <v>2024</v>
      </c>
      <c r="E1872" t="s">
        <v>1885</v>
      </c>
      <c r="F1872" t="s">
        <v>11</v>
      </c>
      <c r="G1872">
        <v>48</v>
      </c>
      <c r="H1872" t="s">
        <v>12</v>
      </c>
      <c r="I1872">
        <v>1</v>
      </c>
      <c r="J1872">
        <v>383</v>
      </c>
      <c r="K1872">
        <v>383</v>
      </c>
      <c r="L18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73" spans="1:12" x14ac:dyDescent="0.3">
      <c r="A1873">
        <v>1872</v>
      </c>
      <c r="B1873" s="1">
        <v>45549</v>
      </c>
      <c r="C1873" s="1" t="str">
        <f>TEXT(RetailStore[[#This Row],[Date]],"mmm")</f>
        <v>Sep</v>
      </c>
      <c r="D1873">
        <v>2024</v>
      </c>
      <c r="E1873" t="s">
        <v>1886</v>
      </c>
      <c r="F1873" t="s">
        <v>11</v>
      </c>
      <c r="G1873">
        <v>30</v>
      </c>
      <c r="H1873" t="s">
        <v>12</v>
      </c>
      <c r="I1873">
        <v>2</v>
      </c>
      <c r="J1873">
        <v>142</v>
      </c>
      <c r="K1873">
        <v>284</v>
      </c>
      <c r="L18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74" spans="1:12" x14ac:dyDescent="0.3">
      <c r="A1874">
        <v>1873</v>
      </c>
      <c r="B1874" s="1">
        <v>45353</v>
      </c>
      <c r="C1874" s="1" t="str">
        <f>TEXT(RetailStore[[#This Row],[Date]],"mmm")</f>
        <v>Mar</v>
      </c>
      <c r="D1874">
        <v>2024</v>
      </c>
      <c r="E1874" t="s">
        <v>1887</v>
      </c>
      <c r="F1874" t="s">
        <v>11</v>
      </c>
      <c r="G1874">
        <v>43</v>
      </c>
      <c r="H1874" t="s">
        <v>15</v>
      </c>
      <c r="I1874">
        <v>3</v>
      </c>
      <c r="J1874">
        <v>123</v>
      </c>
      <c r="K1874">
        <v>369</v>
      </c>
      <c r="L18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75" spans="1:12" x14ac:dyDescent="0.3">
      <c r="A1875">
        <v>1874</v>
      </c>
      <c r="B1875" s="1">
        <v>45366</v>
      </c>
      <c r="C1875" s="1" t="str">
        <f>TEXT(RetailStore[[#This Row],[Date]],"mmm")</f>
        <v>Mar</v>
      </c>
      <c r="D1875">
        <v>2024</v>
      </c>
      <c r="E1875" t="s">
        <v>1888</v>
      </c>
      <c r="F1875" t="s">
        <v>18</v>
      </c>
      <c r="G1875">
        <v>19</v>
      </c>
      <c r="H1875" t="s">
        <v>12</v>
      </c>
      <c r="I1875">
        <v>2</v>
      </c>
      <c r="J1875">
        <v>71</v>
      </c>
      <c r="K1875">
        <v>142</v>
      </c>
      <c r="L18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76" spans="1:12" x14ac:dyDescent="0.3">
      <c r="A1876">
        <v>1875</v>
      </c>
      <c r="B1876" s="1">
        <v>45318</v>
      </c>
      <c r="C1876" s="1" t="str">
        <f>TEXT(RetailStore[[#This Row],[Date]],"mmm")</f>
        <v>Jan</v>
      </c>
      <c r="D1876">
        <v>2024</v>
      </c>
      <c r="E1876" t="s">
        <v>1889</v>
      </c>
      <c r="F1876" t="s">
        <v>18</v>
      </c>
      <c r="G1876">
        <v>44</v>
      </c>
      <c r="H1876" t="s">
        <v>12</v>
      </c>
      <c r="I1876">
        <v>3</v>
      </c>
      <c r="J1876">
        <v>383</v>
      </c>
      <c r="K1876">
        <v>1149</v>
      </c>
      <c r="L18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77" spans="1:12" x14ac:dyDescent="0.3">
      <c r="A1877">
        <v>1876</v>
      </c>
      <c r="B1877" s="1">
        <v>45616</v>
      </c>
      <c r="C1877" s="1" t="str">
        <f>TEXT(RetailStore[[#This Row],[Date]],"mmm")</f>
        <v>Nov</v>
      </c>
      <c r="D1877">
        <v>2024</v>
      </c>
      <c r="E1877" t="s">
        <v>1890</v>
      </c>
      <c r="F1877" t="s">
        <v>11</v>
      </c>
      <c r="G1877">
        <v>32</v>
      </c>
      <c r="H1877" t="s">
        <v>20</v>
      </c>
      <c r="I1877">
        <v>4</v>
      </c>
      <c r="J1877">
        <v>270</v>
      </c>
      <c r="K1877">
        <v>1080</v>
      </c>
      <c r="L18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78" spans="1:12" x14ac:dyDescent="0.3">
      <c r="A1878">
        <v>1877</v>
      </c>
      <c r="B1878" s="1">
        <v>45323</v>
      </c>
      <c r="C1878" s="1" t="str">
        <f>TEXT(RetailStore[[#This Row],[Date]],"mmm")</f>
        <v>Feb</v>
      </c>
      <c r="D1878">
        <v>2024</v>
      </c>
      <c r="E1878" t="s">
        <v>1891</v>
      </c>
      <c r="F1878" t="s">
        <v>18</v>
      </c>
      <c r="G1878">
        <v>59</v>
      </c>
      <c r="H1878" t="s">
        <v>15</v>
      </c>
      <c r="I1878">
        <v>3</v>
      </c>
      <c r="J1878">
        <v>81</v>
      </c>
      <c r="K1878">
        <v>243</v>
      </c>
      <c r="L18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79" spans="1:12" x14ac:dyDescent="0.3">
      <c r="A1879">
        <v>1878</v>
      </c>
      <c r="B1879" s="1">
        <v>45429</v>
      </c>
      <c r="C1879" s="1" t="str">
        <f>TEXT(RetailStore[[#This Row],[Date]],"mmm")</f>
        <v>May</v>
      </c>
      <c r="D1879">
        <v>2024</v>
      </c>
      <c r="E1879" t="s">
        <v>1892</v>
      </c>
      <c r="F1879" t="s">
        <v>18</v>
      </c>
      <c r="G1879">
        <v>35</v>
      </c>
      <c r="H1879" t="s">
        <v>20</v>
      </c>
      <c r="I1879">
        <v>4</v>
      </c>
      <c r="J1879">
        <v>151</v>
      </c>
      <c r="K1879">
        <v>604</v>
      </c>
      <c r="L18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80" spans="1:12" x14ac:dyDescent="0.3">
      <c r="A1880">
        <v>1879</v>
      </c>
      <c r="B1880" s="1">
        <v>45455</v>
      </c>
      <c r="C1880" s="1" t="str">
        <f>TEXT(RetailStore[[#This Row],[Date]],"mmm")</f>
        <v>Jun</v>
      </c>
      <c r="D1880">
        <v>2024</v>
      </c>
      <c r="E1880" t="s">
        <v>1893</v>
      </c>
      <c r="F1880" t="s">
        <v>11</v>
      </c>
      <c r="G1880">
        <v>29</v>
      </c>
      <c r="H1880" t="s">
        <v>15</v>
      </c>
      <c r="I1880">
        <v>1</v>
      </c>
      <c r="J1880">
        <v>51</v>
      </c>
      <c r="K1880">
        <v>51</v>
      </c>
      <c r="L18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81" spans="1:12" x14ac:dyDescent="0.3">
      <c r="A1881">
        <v>1880</v>
      </c>
      <c r="B1881" s="1">
        <v>45630</v>
      </c>
      <c r="C1881" s="1" t="str">
        <f>TEXT(RetailStore[[#This Row],[Date]],"mmm")</f>
        <v>Dec</v>
      </c>
      <c r="D1881">
        <v>2024</v>
      </c>
      <c r="E1881" t="s">
        <v>1894</v>
      </c>
      <c r="F1881" t="s">
        <v>18</v>
      </c>
      <c r="G1881">
        <v>31</v>
      </c>
      <c r="H1881" t="s">
        <v>20</v>
      </c>
      <c r="I1881">
        <v>4</v>
      </c>
      <c r="J1881">
        <v>168</v>
      </c>
      <c r="K1881">
        <v>672</v>
      </c>
      <c r="L18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82" spans="1:12" x14ac:dyDescent="0.3">
      <c r="A1882">
        <v>1881</v>
      </c>
      <c r="B1882" s="1">
        <v>45602</v>
      </c>
      <c r="C1882" s="1" t="str">
        <f>TEXT(RetailStore[[#This Row],[Date]],"mmm")</f>
        <v>Nov</v>
      </c>
      <c r="D1882">
        <v>2024</v>
      </c>
      <c r="E1882" t="s">
        <v>1895</v>
      </c>
      <c r="F1882" t="s">
        <v>11</v>
      </c>
      <c r="G1882">
        <v>45</v>
      </c>
      <c r="H1882" t="s">
        <v>15</v>
      </c>
      <c r="I1882">
        <v>3</v>
      </c>
      <c r="J1882">
        <v>276</v>
      </c>
      <c r="K1882">
        <v>828</v>
      </c>
      <c r="L18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83" spans="1:12" x14ac:dyDescent="0.3">
      <c r="A1883">
        <v>1882</v>
      </c>
      <c r="B1883" s="1">
        <v>45478</v>
      </c>
      <c r="C1883" s="1" t="str">
        <f>TEXT(RetailStore[[#This Row],[Date]],"mmm")</f>
        <v>Jul</v>
      </c>
      <c r="D1883">
        <v>2024</v>
      </c>
      <c r="E1883" t="s">
        <v>1896</v>
      </c>
      <c r="F1883" t="s">
        <v>18</v>
      </c>
      <c r="G1883">
        <v>37</v>
      </c>
      <c r="H1883" t="s">
        <v>15</v>
      </c>
      <c r="I1883">
        <v>1</v>
      </c>
      <c r="J1883">
        <v>367</v>
      </c>
      <c r="K1883">
        <v>367</v>
      </c>
      <c r="L18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84" spans="1:12" x14ac:dyDescent="0.3">
      <c r="A1884">
        <v>1883</v>
      </c>
      <c r="B1884" s="1">
        <v>45298</v>
      </c>
      <c r="C1884" s="1" t="str">
        <f>TEXT(RetailStore[[#This Row],[Date]],"mmm")</f>
        <v>Jan</v>
      </c>
      <c r="D1884">
        <v>2024</v>
      </c>
      <c r="E1884" t="s">
        <v>1897</v>
      </c>
      <c r="F1884" t="s">
        <v>11</v>
      </c>
      <c r="G1884">
        <v>39</v>
      </c>
      <c r="H1884" t="s">
        <v>20</v>
      </c>
      <c r="I1884">
        <v>3</v>
      </c>
      <c r="J1884">
        <v>405</v>
      </c>
      <c r="K1884">
        <v>1215</v>
      </c>
      <c r="L18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85" spans="1:12" x14ac:dyDescent="0.3">
      <c r="A1885">
        <v>1884</v>
      </c>
      <c r="B1885" s="1">
        <v>45593</v>
      </c>
      <c r="C1885" s="1" t="str">
        <f>TEXT(RetailStore[[#This Row],[Date]],"mmm")</f>
        <v>Oct</v>
      </c>
      <c r="D1885">
        <v>2024</v>
      </c>
      <c r="E1885" t="s">
        <v>1898</v>
      </c>
      <c r="F1885" t="s">
        <v>18</v>
      </c>
      <c r="G1885">
        <v>33</v>
      </c>
      <c r="H1885" t="s">
        <v>12</v>
      </c>
      <c r="I1885">
        <v>3</v>
      </c>
      <c r="J1885">
        <v>132</v>
      </c>
      <c r="K1885">
        <v>396</v>
      </c>
      <c r="L18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86" spans="1:12" x14ac:dyDescent="0.3">
      <c r="A1886">
        <v>1885</v>
      </c>
      <c r="B1886" s="1">
        <v>45591</v>
      </c>
      <c r="C1886" s="1" t="str">
        <f>TEXT(RetailStore[[#This Row],[Date]],"mmm")</f>
        <v>Oct</v>
      </c>
      <c r="D1886">
        <v>2024</v>
      </c>
      <c r="E1886" t="s">
        <v>1899</v>
      </c>
      <c r="F1886" t="s">
        <v>18</v>
      </c>
      <c r="G1886">
        <v>23</v>
      </c>
      <c r="H1886" t="s">
        <v>15</v>
      </c>
      <c r="I1886">
        <v>2</v>
      </c>
      <c r="J1886">
        <v>347</v>
      </c>
      <c r="K1886">
        <v>694</v>
      </c>
      <c r="L18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87" spans="1:12" x14ac:dyDescent="0.3">
      <c r="A1887">
        <v>1886</v>
      </c>
      <c r="B1887" s="1">
        <v>45600</v>
      </c>
      <c r="C1887" s="1" t="str">
        <f>TEXT(RetailStore[[#This Row],[Date]],"mmm")</f>
        <v>Nov</v>
      </c>
      <c r="D1887">
        <v>2024</v>
      </c>
      <c r="E1887" t="s">
        <v>1900</v>
      </c>
      <c r="F1887" t="s">
        <v>11</v>
      </c>
      <c r="G1887">
        <v>20</v>
      </c>
      <c r="H1887" t="s">
        <v>12</v>
      </c>
      <c r="I1887">
        <v>2</v>
      </c>
      <c r="J1887">
        <v>123</v>
      </c>
      <c r="K1887">
        <v>246</v>
      </c>
      <c r="L18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88" spans="1:12" x14ac:dyDescent="0.3">
      <c r="A1888">
        <v>1887</v>
      </c>
      <c r="B1888" s="1">
        <v>45652</v>
      </c>
      <c r="C1888" s="1" t="str">
        <f>TEXT(RetailStore[[#This Row],[Date]],"mmm")</f>
        <v>Dec</v>
      </c>
      <c r="D1888">
        <v>2024</v>
      </c>
      <c r="E1888" t="s">
        <v>1901</v>
      </c>
      <c r="F1888" t="s">
        <v>18</v>
      </c>
      <c r="G1888">
        <v>24</v>
      </c>
      <c r="H1888" t="s">
        <v>15</v>
      </c>
      <c r="I1888">
        <v>3</v>
      </c>
      <c r="J1888">
        <v>179</v>
      </c>
      <c r="K1888">
        <v>537</v>
      </c>
      <c r="L18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89" spans="1:12" x14ac:dyDescent="0.3">
      <c r="A1889">
        <v>1888</v>
      </c>
      <c r="B1889" s="1">
        <v>45534</v>
      </c>
      <c r="C1889" s="1" t="str">
        <f>TEXT(RetailStore[[#This Row],[Date]],"mmm")</f>
        <v>Aug</v>
      </c>
      <c r="D1889">
        <v>2024</v>
      </c>
      <c r="E1889" t="s">
        <v>1902</v>
      </c>
      <c r="F1889" t="s">
        <v>11</v>
      </c>
      <c r="G1889">
        <v>52</v>
      </c>
      <c r="H1889" t="s">
        <v>12</v>
      </c>
      <c r="I1889">
        <v>2</v>
      </c>
      <c r="J1889">
        <v>47</v>
      </c>
      <c r="K1889">
        <v>94</v>
      </c>
      <c r="L18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0" spans="1:12" x14ac:dyDescent="0.3">
      <c r="A1890">
        <v>1889</v>
      </c>
      <c r="B1890" s="1">
        <v>45357</v>
      </c>
      <c r="C1890" s="1" t="str">
        <f>TEXT(RetailStore[[#This Row],[Date]],"mmm")</f>
        <v>Mar</v>
      </c>
      <c r="D1890">
        <v>2024</v>
      </c>
      <c r="E1890" t="s">
        <v>1903</v>
      </c>
      <c r="F1890" t="s">
        <v>11</v>
      </c>
      <c r="G1890">
        <v>44</v>
      </c>
      <c r="H1890" t="s">
        <v>12</v>
      </c>
      <c r="I1890">
        <v>3</v>
      </c>
      <c r="J1890">
        <v>481</v>
      </c>
      <c r="K1890">
        <v>1443</v>
      </c>
      <c r="L18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891" spans="1:12" x14ac:dyDescent="0.3">
      <c r="A1891">
        <v>1890</v>
      </c>
      <c r="B1891" s="1">
        <v>45578</v>
      </c>
      <c r="C1891" s="1" t="str">
        <f>TEXT(RetailStore[[#This Row],[Date]],"mmm")</f>
        <v>Oct</v>
      </c>
      <c r="D1891">
        <v>2024</v>
      </c>
      <c r="E1891" t="s">
        <v>1904</v>
      </c>
      <c r="F1891" t="s">
        <v>18</v>
      </c>
      <c r="G1891">
        <v>41</v>
      </c>
      <c r="H1891" t="s">
        <v>20</v>
      </c>
      <c r="I1891">
        <v>1</v>
      </c>
      <c r="J1891">
        <v>491</v>
      </c>
      <c r="K1891">
        <v>491</v>
      </c>
      <c r="L18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2" spans="1:12" x14ac:dyDescent="0.3">
      <c r="A1892">
        <v>1891</v>
      </c>
      <c r="B1892" s="1">
        <v>45515</v>
      </c>
      <c r="C1892" s="1" t="str">
        <f>TEXT(RetailStore[[#This Row],[Date]],"mmm")</f>
        <v>Aug</v>
      </c>
      <c r="D1892">
        <v>2024</v>
      </c>
      <c r="E1892" t="s">
        <v>1905</v>
      </c>
      <c r="F1892" t="s">
        <v>11</v>
      </c>
      <c r="G1892">
        <v>48</v>
      </c>
      <c r="H1892" t="s">
        <v>20</v>
      </c>
      <c r="I1892">
        <v>1</v>
      </c>
      <c r="J1892">
        <v>110</v>
      </c>
      <c r="K1892">
        <v>110</v>
      </c>
      <c r="L18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3" spans="1:12" x14ac:dyDescent="0.3">
      <c r="A1893">
        <v>1892</v>
      </c>
      <c r="B1893" s="1">
        <v>45598</v>
      </c>
      <c r="C1893" s="1" t="str">
        <f>TEXT(RetailStore[[#This Row],[Date]],"mmm")</f>
        <v>Nov</v>
      </c>
      <c r="D1893">
        <v>2024</v>
      </c>
      <c r="E1893" t="s">
        <v>1906</v>
      </c>
      <c r="F1893" t="s">
        <v>18</v>
      </c>
      <c r="G1893">
        <v>62</v>
      </c>
      <c r="H1893" t="s">
        <v>15</v>
      </c>
      <c r="I1893">
        <v>3</v>
      </c>
      <c r="J1893">
        <v>48</v>
      </c>
      <c r="K1893">
        <v>144</v>
      </c>
      <c r="L18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94" spans="1:12" x14ac:dyDescent="0.3">
      <c r="A1894">
        <v>1893</v>
      </c>
      <c r="B1894" s="1">
        <v>45581</v>
      </c>
      <c r="C1894" s="1" t="str">
        <f>TEXT(RetailStore[[#This Row],[Date]],"mmm")</f>
        <v>Oct</v>
      </c>
      <c r="D1894">
        <v>2024</v>
      </c>
      <c r="E1894" t="s">
        <v>1907</v>
      </c>
      <c r="F1894" t="s">
        <v>11</v>
      </c>
      <c r="G1894">
        <v>62</v>
      </c>
      <c r="H1894" t="s">
        <v>15</v>
      </c>
      <c r="I1894">
        <v>4</v>
      </c>
      <c r="J1894">
        <v>278</v>
      </c>
      <c r="K1894">
        <v>1112</v>
      </c>
      <c r="L18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5" spans="1:12" x14ac:dyDescent="0.3">
      <c r="A1895">
        <v>1894</v>
      </c>
      <c r="B1895" s="1">
        <v>45642</v>
      </c>
      <c r="C1895" s="1" t="str">
        <f>TEXT(RetailStore[[#This Row],[Date]],"mmm")</f>
        <v>Dec</v>
      </c>
      <c r="D1895">
        <v>2024</v>
      </c>
      <c r="E1895" t="s">
        <v>1908</v>
      </c>
      <c r="F1895" t="s">
        <v>11</v>
      </c>
      <c r="G1895">
        <v>28</v>
      </c>
      <c r="H1895" t="s">
        <v>20</v>
      </c>
      <c r="I1895">
        <v>4</v>
      </c>
      <c r="J1895">
        <v>312</v>
      </c>
      <c r="K1895">
        <v>1248</v>
      </c>
      <c r="L18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96" spans="1:12" x14ac:dyDescent="0.3">
      <c r="A1896">
        <v>1895</v>
      </c>
      <c r="B1896" s="1">
        <v>45491</v>
      </c>
      <c r="C1896" s="1" t="str">
        <f>TEXT(RetailStore[[#This Row],[Date]],"mmm")</f>
        <v>Jul</v>
      </c>
      <c r="D1896">
        <v>2024</v>
      </c>
      <c r="E1896" t="s">
        <v>1909</v>
      </c>
      <c r="F1896" t="s">
        <v>18</v>
      </c>
      <c r="G1896">
        <v>56</v>
      </c>
      <c r="H1896" t="s">
        <v>20</v>
      </c>
      <c r="I1896">
        <v>2</v>
      </c>
      <c r="J1896">
        <v>119</v>
      </c>
      <c r="K1896">
        <v>238</v>
      </c>
      <c r="L18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7" spans="1:12" x14ac:dyDescent="0.3">
      <c r="A1897">
        <v>1896</v>
      </c>
      <c r="B1897" s="1">
        <v>45293</v>
      </c>
      <c r="C1897" s="1" t="str">
        <f>TEXT(RetailStore[[#This Row],[Date]],"mmm")</f>
        <v>Jan</v>
      </c>
      <c r="D1897">
        <v>2024</v>
      </c>
      <c r="E1897" t="s">
        <v>1910</v>
      </c>
      <c r="F1897" t="s">
        <v>11</v>
      </c>
      <c r="G1897">
        <v>54</v>
      </c>
      <c r="H1897" t="s">
        <v>15</v>
      </c>
      <c r="I1897">
        <v>1</v>
      </c>
      <c r="J1897">
        <v>475</v>
      </c>
      <c r="K1897">
        <v>475</v>
      </c>
      <c r="L18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898" spans="1:12" x14ac:dyDescent="0.3">
      <c r="A1898">
        <v>1897</v>
      </c>
      <c r="B1898" s="1">
        <v>45554</v>
      </c>
      <c r="C1898" s="1" t="str">
        <f>TEXT(RetailStore[[#This Row],[Date]],"mmm")</f>
        <v>Sep</v>
      </c>
      <c r="D1898">
        <v>2024</v>
      </c>
      <c r="E1898" t="s">
        <v>1911</v>
      </c>
      <c r="F1898" t="s">
        <v>18</v>
      </c>
      <c r="G1898">
        <v>50</v>
      </c>
      <c r="H1898" t="s">
        <v>12</v>
      </c>
      <c r="I1898">
        <v>3</v>
      </c>
      <c r="J1898">
        <v>180</v>
      </c>
      <c r="K1898">
        <v>540</v>
      </c>
      <c r="L18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899" spans="1:12" x14ac:dyDescent="0.3">
      <c r="A1899">
        <v>1898</v>
      </c>
      <c r="B1899" s="1">
        <v>45404</v>
      </c>
      <c r="C1899" s="1" t="str">
        <f>TEXT(RetailStore[[#This Row],[Date]],"mmm")</f>
        <v>Apr</v>
      </c>
      <c r="D1899">
        <v>2024</v>
      </c>
      <c r="E1899" t="s">
        <v>1912</v>
      </c>
      <c r="F1899" t="s">
        <v>18</v>
      </c>
      <c r="G1899">
        <v>63</v>
      </c>
      <c r="H1899" t="s">
        <v>20</v>
      </c>
      <c r="I1899">
        <v>1</v>
      </c>
      <c r="J1899">
        <v>112</v>
      </c>
      <c r="K1899">
        <v>112</v>
      </c>
      <c r="L18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00" spans="1:12" x14ac:dyDescent="0.3">
      <c r="A1900">
        <v>1899</v>
      </c>
      <c r="B1900" s="1">
        <v>45406</v>
      </c>
      <c r="C1900" s="1" t="str">
        <f>TEXT(RetailStore[[#This Row],[Date]],"mmm")</f>
        <v>Apr</v>
      </c>
      <c r="D1900">
        <v>2024</v>
      </c>
      <c r="E1900" t="s">
        <v>1913</v>
      </c>
      <c r="F1900" t="s">
        <v>11</v>
      </c>
      <c r="G1900">
        <v>52</v>
      </c>
      <c r="H1900" t="s">
        <v>15</v>
      </c>
      <c r="I1900">
        <v>3</v>
      </c>
      <c r="J1900">
        <v>45</v>
      </c>
      <c r="K1900">
        <v>135</v>
      </c>
      <c r="L19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01" spans="1:12" x14ac:dyDescent="0.3">
      <c r="A1901">
        <v>1900</v>
      </c>
      <c r="B1901" s="1">
        <v>45619</v>
      </c>
      <c r="C1901" s="1" t="str">
        <f>TEXT(RetailStore[[#This Row],[Date]],"mmm")</f>
        <v>Nov</v>
      </c>
      <c r="D1901">
        <v>2024</v>
      </c>
      <c r="E1901" t="s">
        <v>1914</v>
      </c>
      <c r="F1901" t="s">
        <v>11</v>
      </c>
      <c r="G1901">
        <v>35</v>
      </c>
      <c r="H1901" t="s">
        <v>15</v>
      </c>
      <c r="I1901">
        <v>3</v>
      </c>
      <c r="J1901">
        <v>472</v>
      </c>
      <c r="K1901">
        <v>1416</v>
      </c>
      <c r="L19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2" spans="1:12" x14ac:dyDescent="0.3">
      <c r="A1902">
        <v>1901</v>
      </c>
      <c r="B1902" s="1">
        <v>45318</v>
      </c>
      <c r="C1902" s="1" t="str">
        <f>TEXT(RetailStore[[#This Row],[Date]],"mmm")</f>
        <v>Jan</v>
      </c>
      <c r="D1902">
        <v>2024</v>
      </c>
      <c r="E1902" t="s">
        <v>1915</v>
      </c>
      <c r="F1902" t="s">
        <v>11</v>
      </c>
      <c r="G1902">
        <v>31</v>
      </c>
      <c r="H1902" t="s">
        <v>12</v>
      </c>
      <c r="I1902">
        <v>1</v>
      </c>
      <c r="J1902">
        <v>25</v>
      </c>
      <c r="K1902">
        <v>25</v>
      </c>
      <c r="L190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3" spans="1:12" x14ac:dyDescent="0.3">
      <c r="A1903">
        <v>1902</v>
      </c>
      <c r="B1903" s="1">
        <v>45624</v>
      </c>
      <c r="C1903" s="1" t="str">
        <f>TEXT(RetailStore[[#This Row],[Date]],"mmm")</f>
        <v>Nov</v>
      </c>
      <c r="D1903">
        <v>2024</v>
      </c>
      <c r="E1903" t="s">
        <v>1916</v>
      </c>
      <c r="F1903" t="s">
        <v>18</v>
      </c>
      <c r="G1903">
        <v>58</v>
      </c>
      <c r="H1903" t="s">
        <v>12</v>
      </c>
      <c r="I1903">
        <v>3</v>
      </c>
      <c r="J1903">
        <v>191</v>
      </c>
      <c r="K1903">
        <v>573</v>
      </c>
      <c r="L190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4" spans="1:12" x14ac:dyDescent="0.3">
      <c r="A1904">
        <v>1903</v>
      </c>
      <c r="B1904" s="1">
        <v>45334</v>
      </c>
      <c r="C1904" s="1" t="str">
        <f>TEXT(RetailStore[[#This Row],[Date]],"mmm")</f>
        <v>Feb</v>
      </c>
      <c r="D1904">
        <v>2024</v>
      </c>
      <c r="E1904" t="s">
        <v>1917</v>
      </c>
      <c r="F1904" t="s">
        <v>18</v>
      </c>
      <c r="G1904">
        <v>64</v>
      </c>
      <c r="H1904" t="s">
        <v>15</v>
      </c>
      <c r="I1904">
        <v>4</v>
      </c>
      <c r="J1904">
        <v>484</v>
      </c>
      <c r="K1904">
        <v>1936</v>
      </c>
      <c r="L190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5" spans="1:12" x14ac:dyDescent="0.3">
      <c r="A1905">
        <v>1904</v>
      </c>
      <c r="B1905" s="1">
        <v>45605</v>
      </c>
      <c r="C1905" s="1" t="str">
        <f>TEXT(RetailStore[[#This Row],[Date]],"mmm")</f>
        <v>Nov</v>
      </c>
      <c r="D1905">
        <v>2024</v>
      </c>
      <c r="E1905" t="s">
        <v>1918</v>
      </c>
      <c r="F1905" t="s">
        <v>18</v>
      </c>
      <c r="G1905">
        <v>38</v>
      </c>
      <c r="H1905" t="s">
        <v>15</v>
      </c>
      <c r="I1905">
        <v>1</v>
      </c>
      <c r="J1905">
        <v>446</v>
      </c>
      <c r="K1905">
        <v>446</v>
      </c>
      <c r="L190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6" spans="1:12" x14ac:dyDescent="0.3">
      <c r="A1906">
        <v>1905</v>
      </c>
      <c r="B1906" s="1">
        <v>45474</v>
      </c>
      <c r="C1906" s="1" t="str">
        <f>TEXT(RetailStore[[#This Row],[Date]],"mmm")</f>
        <v>Jul</v>
      </c>
      <c r="D1906">
        <v>2024</v>
      </c>
      <c r="E1906" t="s">
        <v>1919</v>
      </c>
      <c r="F1906" t="s">
        <v>11</v>
      </c>
      <c r="G1906">
        <v>64</v>
      </c>
      <c r="H1906" t="s">
        <v>20</v>
      </c>
      <c r="I1906">
        <v>2</v>
      </c>
      <c r="J1906">
        <v>156</v>
      </c>
      <c r="K1906">
        <v>312</v>
      </c>
      <c r="L190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07" spans="1:12" x14ac:dyDescent="0.3">
      <c r="A1907">
        <v>1906</v>
      </c>
      <c r="B1907" s="1">
        <v>45300</v>
      </c>
      <c r="C1907" s="1" t="str">
        <f>TEXT(RetailStore[[#This Row],[Date]],"mmm")</f>
        <v>Jan</v>
      </c>
      <c r="D1907">
        <v>2024</v>
      </c>
      <c r="E1907" t="s">
        <v>1920</v>
      </c>
      <c r="F1907" t="s">
        <v>11</v>
      </c>
      <c r="G1907">
        <v>64</v>
      </c>
      <c r="H1907" t="s">
        <v>12</v>
      </c>
      <c r="I1907">
        <v>4</v>
      </c>
      <c r="J1907">
        <v>359</v>
      </c>
      <c r="K1907">
        <v>1436</v>
      </c>
      <c r="L190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08" spans="1:12" x14ac:dyDescent="0.3">
      <c r="A1908">
        <v>1907</v>
      </c>
      <c r="B1908" s="1">
        <v>45423</v>
      </c>
      <c r="C1908" s="1" t="str">
        <f>TEXT(RetailStore[[#This Row],[Date]],"mmm")</f>
        <v>May</v>
      </c>
      <c r="D1908">
        <v>2024</v>
      </c>
      <c r="E1908" t="s">
        <v>1921</v>
      </c>
      <c r="F1908" t="s">
        <v>11</v>
      </c>
      <c r="G1908">
        <v>46</v>
      </c>
      <c r="H1908" t="s">
        <v>15</v>
      </c>
      <c r="I1908">
        <v>3</v>
      </c>
      <c r="J1908">
        <v>162</v>
      </c>
      <c r="K1908">
        <v>486</v>
      </c>
      <c r="L190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09" spans="1:12" x14ac:dyDescent="0.3">
      <c r="A1909">
        <v>1908</v>
      </c>
      <c r="B1909" s="1">
        <v>45396</v>
      </c>
      <c r="C1909" s="1" t="str">
        <f>TEXT(RetailStore[[#This Row],[Date]],"mmm")</f>
        <v>Apr</v>
      </c>
      <c r="D1909">
        <v>2024</v>
      </c>
      <c r="E1909" t="s">
        <v>1922</v>
      </c>
      <c r="F1909" t="s">
        <v>18</v>
      </c>
      <c r="G1909">
        <v>27</v>
      </c>
      <c r="H1909" t="s">
        <v>20</v>
      </c>
      <c r="I1909">
        <v>2</v>
      </c>
      <c r="J1909">
        <v>398</v>
      </c>
      <c r="K1909">
        <v>796</v>
      </c>
      <c r="L190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10" spans="1:12" x14ac:dyDescent="0.3">
      <c r="A1910">
        <v>1909</v>
      </c>
      <c r="B1910" s="1">
        <v>45514</v>
      </c>
      <c r="C1910" s="1" t="str">
        <f>TEXT(RetailStore[[#This Row],[Date]],"mmm")</f>
        <v>Aug</v>
      </c>
      <c r="D1910">
        <v>2024</v>
      </c>
      <c r="E1910" t="s">
        <v>1923</v>
      </c>
      <c r="F1910" t="s">
        <v>18</v>
      </c>
      <c r="G1910">
        <v>27</v>
      </c>
      <c r="H1910" t="s">
        <v>20</v>
      </c>
      <c r="I1910">
        <v>1</v>
      </c>
      <c r="J1910">
        <v>278</v>
      </c>
      <c r="K1910">
        <v>278</v>
      </c>
      <c r="L191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11" spans="1:12" x14ac:dyDescent="0.3">
      <c r="A1911">
        <v>1910</v>
      </c>
      <c r="B1911" s="1">
        <v>45384</v>
      </c>
      <c r="C1911" s="1" t="str">
        <f>TEXT(RetailStore[[#This Row],[Date]],"mmm")</f>
        <v>Apr</v>
      </c>
      <c r="D1911">
        <v>2024</v>
      </c>
      <c r="E1911" t="s">
        <v>1924</v>
      </c>
      <c r="F1911" t="s">
        <v>18</v>
      </c>
      <c r="G1911">
        <v>29</v>
      </c>
      <c r="H1911" t="s">
        <v>15</v>
      </c>
      <c r="I1911">
        <v>2</v>
      </c>
      <c r="J1911">
        <v>316</v>
      </c>
      <c r="K1911">
        <v>632</v>
      </c>
      <c r="L191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12" spans="1:12" x14ac:dyDescent="0.3">
      <c r="A1912">
        <v>1911</v>
      </c>
      <c r="B1912" s="1">
        <v>45543</v>
      </c>
      <c r="C1912" s="1" t="str">
        <f>TEXT(RetailStore[[#This Row],[Date]],"mmm")</f>
        <v>Sep</v>
      </c>
      <c r="D1912">
        <v>2024</v>
      </c>
      <c r="E1912" t="s">
        <v>1925</v>
      </c>
      <c r="F1912" t="s">
        <v>11</v>
      </c>
      <c r="G1912">
        <v>59</v>
      </c>
      <c r="H1912" t="s">
        <v>20</v>
      </c>
      <c r="I1912">
        <v>1</v>
      </c>
      <c r="J1912">
        <v>183</v>
      </c>
      <c r="K1912">
        <v>183</v>
      </c>
      <c r="L191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13" spans="1:12" x14ac:dyDescent="0.3">
      <c r="A1913">
        <v>1912</v>
      </c>
      <c r="B1913" s="1">
        <v>45375</v>
      </c>
      <c r="C1913" s="1" t="str">
        <f>TEXT(RetailStore[[#This Row],[Date]],"mmm")</f>
        <v>Mar</v>
      </c>
      <c r="D1913">
        <v>2024</v>
      </c>
      <c r="E1913" t="s">
        <v>1926</v>
      </c>
      <c r="F1913" t="s">
        <v>11</v>
      </c>
      <c r="G1913">
        <v>43</v>
      </c>
      <c r="H1913" t="s">
        <v>12</v>
      </c>
      <c r="I1913">
        <v>2</v>
      </c>
      <c r="J1913">
        <v>60</v>
      </c>
      <c r="K1913">
        <v>120</v>
      </c>
      <c r="L191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14" spans="1:12" x14ac:dyDescent="0.3">
      <c r="A1914">
        <v>1913</v>
      </c>
      <c r="B1914" s="1">
        <v>45365</v>
      </c>
      <c r="C1914" s="1" t="str">
        <f>TEXT(RetailStore[[#This Row],[Date]],"mmm")</f>
        <v>Mar</v>
      </c>
      <c r="D1914">
        <v>2024</v>
      </c>
      <c r="E1914" t="s">
        <v>1927</v>
      </c>
      <c r="F1914" t="s">
        <v>11</v>
      </c>
      <c r="G1914">
        <v>45</v>
      </c>
      <c r="H1914" t="s">
        <v>15</v>
      </c>
      <c r="I1914">
        <v>4</v>
      </c>
      <c r="J1914">
        <v>490</v>
      </c>
      <c r="K1914">
        <v>1960</v>
      </c>
      <c r="L191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15" spans="1:12" x14ac:dyDescent="0.3">
      <c r="A1915">
        <v>1914</v>
      </c>
      <c r="B1915" s="1">
        <v>45622</v>
      </c>
      <c r="C1915" s="1" t="str">
        <f>TEXT(RetailStore[[#This Row],[Date]],"mmm")</f>
        <v>Nov</v>
      </c>
      <c r="D1915">
        <v>2024</v>
      </c>
      <c r="E1915" t="s">
        <v>1928</v>
      </c>
      <c r="F1915" t="s">
        <v>18</v>
      </c>
      <c r="G1915">
        <v>24</v>
      </c>
      <c r="H1915" t="s">
        <v>12</v>
      </c>
      <c r="I1915">
        <v>2</v>
      </c>
      <c r="J1915">
        <v>397</v>
      </c>
      <c r="K1915">
        <v>794</v>
      </c>
      <c r="L191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16" spans="1:12" x14ac:dyDescent="0.3">
      <c r="A1916">
        <v>1915</v>
      </c>
      <c r="B1916" s="1">
        <v>45298</v>
      </c>
      <c r="C1916" s="1" t="str">
        <f>TEXT(RetailStore[[#This Row],[Date]],"mmm")</f>
        <v>Jan</v>
      </c>
      <c r="D1916">
        <v>2024</v>
      </c>
      <c r="E1916" t="s">
        <v>1929</v>
      </c>
      <c r="F1916" t="s">
        <v>11</v>
      </c>
      <c r="G1916">
        <v>42</v>
      </c>
      <c r="H1916" t="s">
        <v>20</v>
      </c>
      <c r="I1916">
        <v>1</v>
      </c>
      <c r="J1916">
        <v>81</v>
      </c>
      <c r="K1916">
        <v>81</v>
      </c>
      <c r="L191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17" spans="1:12" x14ac:dyDescent="0.3">
      <c r="A1917">
        <v>1916</v>
      </c>
      <c r="B1917" s="1">
        <v>45298</v>
      </c>
      <c r="C1917" s="1" t="str">
        <f>TEXT(RetailStore[[#This Row],[Date]],"mmm")</f>
        <v>Jan</v>
      </c>
      <c r="D1917">
        <v>2024</v>
      </c>
      <c r="E1917" t="s">
        <v>1930</v>
      </c>
      <c r="F1917" t="s">
        <v>11</v>
      </c>
      <c r="G1917">
        <v>26</v>
      </c>
      <c r="H1917" t="s">
        <v>15</v>
      </c>
      <c r="I1917">
        <v>1</v>
      </c>
      <c r="J1917">
        <v>162</v>
      </c>
      <c r="K1917">
        <v>162</v>
      </c>
      <c r="L191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18" spans="1:12" x14ac:dyDescent="0.3">
      <c r="A1918">
        <v>1917</v>
      </c>
      <c r="B1918" s="1">
        <v>45365</v>
      </c>
      <c r="C1918" s="1" t="str">
        <f>TEXT(RetailStore[[#This Row],[Date]],"mmm")</f>
        <v>Mar</v>
      </c>
      <c r="D1918">
        <v>2024</v>
      </c>
      <c r="E1918" t="s">
        <v>1931</v>
      </c>
      <c r="F1918" t="s">
        <v>11</v>
      </c>
      <c r="G1918">
        <v>18</v>
      </c>
      <c r="H1918" t="s">
        <v>15</v>
      </c>
      <c r="I1918">
        <v>3</v>
      </c>
      <c r="J1918">
        <v>461</v>
      </c>
      <c r="K1918">
        <v>1383</v>
      </c>
      <c r="L191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19" spans="1:12" x14ac:dyDescent="0.3">
      <c r="A1919">
        <v>1918</v>
      </c>
      <c r="B1919" s="1">
        <v>45654</v>
      </c>
      <c r="C1919" s="1" t="str">
        <f>TEXT(RetailStore[[#This Row],[Date]],"mmm")</f>
        <v>Dec</v>
      </c>
      <c r="D1919">
        <v>2024</v>
      </c>
      <c r="E1919" t="s">
        <v>1932</v>
      </c>
      <c r="F1919" t="s">
        <v>11</v>
      </c>
      <c r="G1919">
        <v>30</v>
      </c>
      <c r="H1919" t="s">
        <v>15</v>
      </c>
      <c r="I1919">
        <v>4</v>
      </c>
      <c r="J1919">
        <v>413</v>
      </c>
      <c r="K1919">
        <v>1652</v>
      </c>
      <c r="L191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20" spans="1:12" x14ac:dyDescent="0.3">
      <c r="A1920">
        <v>1919</v>
      </c>
      <c r="B1920" s="1">
        <v>45580</v>
      </c>
      <c r="C1920" s="1" t="str">
        <f>TEXT(RetailStore[[#This Row],[Date]],"mmm")</f>
        <v>Oct</v>
      </c>
      <c r="D1920">
        <v>2024</v>
      </c>
      <c r="E1920" t="s">
        <v>1933</v>
      </c>
      <c r="F1920" t="s">
        <v>18</v>
      </c>
      <c r="G1920">
        <v>28</v>
      </c>
      <c r="H1920" t="s">
        <v>20</v>
      </c>
      <c r="I1920">
        <v>3</v>
      </c>
      <c r="J1920">
        <v>270</v>
      </c>
      <c r="K1920">
        <v>810</v>
      </c>
      <c r="L192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21" spans="1:12" x14ac:dyDescent="0.3">
      <c r="A1921">
        <v>1920</v>
      </c>
      <c r="B1921" s="1">
        <v>45371</v>
      </c>
      <c r="C1921" s="1" t="str">
        <f>TEXT(RetailStore[[#This Row],[Date]],"mmm")</f>
        <v>Mar</v>
      </c>
      <c r="D1921">
        <v>2024</v>
      </c>
      <c r="E1921" t="s">
        <v>1934</v>
      </c>
      <c r="F1921" t="s">
        <v>11</v>
      </c>
      <c r="G1921">
        <v>21</v>
      </c>
      <c r="H1921" t="s">
        <v>12</v>
      </c>
      <c r="I1921">
        <v>3</v>
      </c>
      <c r="J1921">
        <v>346</v>
      </c>
      <c r="K1921">
        <v>1038</v>
      </c>
      <c r="L192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22" spans="1:12" x14ac:dyDescent="0.3">
      <c r="A1922">
        <v>1921</v>
      </c>
      <c r="B1922" s="1">
        <v>45570</v>
      </c>
      <c r="C1922" s="1" t="str">
        <f>TEXT(RetailStore[[#This Row],[Date]],"mmm")</f>
        <v>Oct</v>
      </c>
      <c r="D1922">
        <v>2024</v>
      </c>
      <c r="E1922" t="s">
        <v>1935</v>
      </c>
      <c r="F1922" t="s">
        <v>11</v>
      </c>
      <c r="G1922">
        <v>19</v>
      </c>
      <c r="H1922" t="s">
        <v>15</v>
      </c>
      <c r="I1922">
        <v>1</v>
      </c>
      <c r="J1922">
        <v>303</v>
      </c>
      <c r="K1922">
        <v>303</v>
      </c>
      <c r="L192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23" spans="1:12" x14ac:dyDescent="0.3">
      <c r="A1923">
        <v>1922</v>
      </c>
      <c r="B1923" s="1">
        <v>45443</v>
      </c>
      <c r="C1923" s="1" t="str">
        <f>TEXT(RetailStore[[#This Row],[Date]],"mmm")</f>
        <v>May</v>
      </c>
      <c r="D1923">
        <v>2024</v>
      </c>
      <c r="E1923" t="s">
        <v>1936</v>
      </c>
      <c r="F1923" t="s">
        <v>11</v>
      </c>
      <c r="G1923">
        <v>50</v>
      </c>
      <c r="H1923" t="s">
        <v>20</v>
      </c>
      <c r="I1923">
        <v>2</v>
      </c>
      <c r="J1923">
        <v>25</v>
      </c>
      <c r="K1923">
        <v>50</v>
      </c>
      <c r="L192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24" spans="1:12" x14ac:dyDescent="0.3">
      <c r="A1924">
        <v>1923</v>
      </c>
      <c r="B1924" s="1">
        <v>45406</v>
      </c>
      <c r="C1924" s="1" t="str">
        <f>TEXT(RetailStore[[#This Row],[Date]],"mmm")</f>
        <v>Apr</v>
      </c>
      <c r="D1924">
        <v>2024</v>
      </c>
      <c r="E1924" t="s">
        <v>1937</v>
      </c>
      <c r="F1924" t="s">
        <v>11</v>
      </c>
      <c r="G1924">
        <v>32</v>
      </c>
      <c r="H1924" t="s">
        <v>20</v>
      </c>
      <c r="I1924">
        <v>4</v>
      </c>
      <c r="J1924">
        <v>100</v>
      </c>
      <c r="K1924">
        <v>400</v>
      </c>
      <c r="L192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25" spans="1:12" x14ac:dyDescent="0.3">
      <c r="A1925">
        <v>1924</v>
      </c>
      <c r="B1925" s="1">
        <v>45472</v>
      </c>
      <c r="C1925" s="1" t="str">
        <f>TEXT(RetailStore[[#This Row],[Date]],"mmm")</f>
        <v>Jun</v>
      </c>
      <c r="D1925">
        <v>2024</v>
      </c>
      <c r="E1925" t="s">
        <v>1938</v>
      </c>
      <c r="F1925" t="s">
        <v>18</v>
      </c>
      <c r="G1925">
        <v>32</v>
      </c>
      <c r="H1925" t="s">
        <v>12</v>
      </c>
      <c r="I1925">
        <v>4</v>
      </c>
      <c r="J1925">
        <v>376</v>
      </c>
      <c r="K1925">
        <v>1504</v>
      </c>
      <c r="L192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26" spans="1:12" x14ac:dyDescent="0.3">
      <c r="A1926">
        <v>1925</v>
      </c>
      <c r="B1926" s="1">
        <v>45349</v>
      </c>
      <c r="C1926" s="1" t="str">
        <f>TEXT(RetailStore[[#This Row],[Date]],"mmm")</f>
        <v>Feb</v>
      </c>
      <c r="D1926">
        <v>2024</v>
      </c>
      <c r="E1926" t="s">
        <v>1939</v>
      </c>
      <c r="F1926" t="s">
        <v>18</v>
      </c>
      <c r="G1926">
        <v>28</v>
      </c>
      <c r="H1926" t="s">
        <v>15</v>
      </c>
      <c r="I1926">
        <v>2</v>
      </c>
      <c r="J1926">
        <v>77</v>
      </c>
      <c r="K1926">
        <v>154</v>
      </c>
      <c r="L192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27" spans="1:12" x14ac:dyDescent="0.3">
      <c r="A1927">
        <v>1926</v>
      </c>
      <c r="B1927" s="1">
        <v>45436</v>
      </c>
      <c r="C1927" s="1" t="str">
        <f>TEXT(RetailStore[[#This Row],[Date]],"mmm")</f>
        <v>May</v>
      </c>
      <c r="D1927">
        <v>2024</v>
      </c>
      <c r="E1927" t="s">
        <v>1940</v>
      </c>
      <c r="F1927" t="s">
        <v>18</v>
      </c>
      <c r="G1927">
        <v>22</v>
      </c>
      <c r="H1927" t="s">
        <v>12</v>
      </c>
      <c r="I1927">
        <v>3</v>
      </c>
      <c r="J1927">
        <v>85</v>
      </c>
      <c r="K1927">
        <v>255</v>
      </c>
      <c r="L192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28" spans="1:12" x14ac:dyDescent="0.3">
      <c r="A1928">
        <v>1927</v>
      </c>
      <c r="B1928" s="1">
        <v>45476</v>
      </c>
      <c r="C1928" s="1" t="str">
        <f>TEXT(RetailStore[[#This Row],[Date]],"mmm")</f>
        <v>Jul</v>
      </c>
      <c r="D1928">
        <v>2024</v>
      </c>
      <c r="E1928" t="s">
        <v>1941</v>
      </c>
      <c r="F1928" t="s">
        <v>11</v>
      </c>
      <c r="G1928">
        <v>20</v>
      </c>
      <c r="H1928" t="s">
        <v>12</v>
      </c>
      <c r="I1928">
        <v>2</v>
      </c>
      <c r="J1928">
        <v>116</v>
      </c>
      <c r="K1928">
        <v>232</v>
      </c>
      <c r="L192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29" spans="1:12" x14ac:dyDescent="0.3">
      <c r="A1929">
        <v>1928</v>
      </c>
      <c r="B1929" s="1">
        <v>45511</v>
      </c>
      <c r="C1929" s="1" t="str">
        <f>TEXT(RetailStore[[#This Row],[Date]],"mmm")</f>
        <v>Aug</v>
      </c>
      <c r="D1929">
        <v>2024</v>
      </c>
      <c r="E1929" t="s">
        <v>1942</v>
      </c>
      <c r="F1929" t="s">
        <v>18</v>
      </c>
      <c r="G1929">
        <v>56</v>
      </c>
      <c r="H1929" t="s">
        <v>15</v>
      </c>
      <c r="I1929">
        <v>4</v>
      </c>
      <c r="J1929">
        <v>101</v>
      </c>
      <c r="K1929">
        <v>404</v>
      </c>
      <c r="L192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30" spans="1:12" x14ac:dyDescent="0.3">
      <c r="A1930">
        <v>1929</v>
      </c>
      <c r="B1930" s="1">
        <v>45633</v>
      </c>
      <c r="C1930" s="1" t="str">
        <f>TEXT(RetailStore[[#This Row],[Date]],"mmm")</f>
        <v>Dec</v>
      </c>
      <c r="D1930">
        <v>2024</v>
      </c>
      <c r="E1930" t="s">
        <v>1943</v>
      </c>
      <c r="F1930" t="s">
        <v>18</v>
      </c>
      <c r="G1930">
        <v>57</v>
      </c>
      <c r="H1930" t="s">
        <v>20</v>
      </c>
      <c r="I1930">
        <v>3</v>
      </c>
      <c r="J1930">
        <v>473</v>
      </c>
      <c r="K1930">
        <v>1419</v>
      </c>
      <c r="L193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31" spans="1:12" x14ac:dyDescent="0.3">
      <c r="A1931">
        <v>1930</v>
      </c>
      <c r="B1931" s="1">
        <v>45345</v>
      </c>
      <c r="C1931" s="1" t="str">
        <f>TEXT(RetailStore[[#This Row],[Date]],"mmm")</f>
        <v>Feb</v>
      </c>
      <c r="D1931">
        <v>2024</v>
      </c>
      <c r="E1931" t="s">
        <v>1944</v>
      </c>
      <c r="F1931" t="s">
        <v>18</v>
      </c>
      <c r="G1931">
        <v>49</v>
      </c>
      <c r="H1931" t="s">
        <v>12</v>
      </c>
      <c r="I1931">
        <v>3</v>
      </c>
      <c r="J1931">
        <v>160</v>
      </c>
      <c r="K1931">
        <v>480</v>
      </c>
      <c r="L193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32" spans="1:12" x14ac:dyDescent="0.3">
      <c r="A1932">
        <v>1931</v>
      </c>
      <c r="B1932" s="1">
        <v>45656</v>
      </c>
      <c r="C1932" s="1" t="str">
        <f>TEXT(RetailStore[[#This Row],[Date]],"mmm")</f>
        <v>Dec</v>
      </c>
      <c r="D1932">
        <v>2024</v>
      </c>
      <c r="E1932" t="s">
        <v>1945</v>
      </c>
      <c r="F1932" t="s">
        <v>11</v>
      </c>
      <c r="G1932">
        <v>18</v>
      </c>
      <c r="H1932" t="s">
        <v>15</v>
      </c>
      <c r="I1932">
        <v>2</v>
      </c>
      <c r="J1932">
        <v>188</v>
      </c>
      <c r="K1932">
        <v>376</v>
      </c>
      <c r="L193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33" spans="1:12" x14ac:dyDescent="0.3">
      <c r="A1933">
        <v>1932</v>
      </c>
      <c r="B1933" s="1">
        <v>45367</v>
      </c>
      <c r="C1933" s="1" t="str">
        <f>TEXT(RetailStore[[#This Row],[Date]],"mmm")</f>
        <v>Mar</v>
      </c>
      <c r="D1933">
        <v>2024</v>
      </c>
      <c r="E1933" t="s">
        <v>1946</v>
      </c>
      <c r="F1933" t="s">
        <v>18</v>
      </c>
      <c r="G1933">
        <v>46</v>
      </c>
      <c r="H1933" t="s">
        <v>12</v>
      </c>
      <c r="I1933">
        <v>4</v>
      </c>
      <c r="J1933">
        <v>442</v>
      </c>
      <c r="K1933">
        <v>1768</v>
      </c>
      <c r="L193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34" spans="1:12" x14ac:dyDescent="0.3">
      <c r="A1934">
        <v>1933</v>
      </c>
      <c r="B1934" s="1">
        <v>45326</v>
      </c>
      <c r="C1934" s="1" t="str">
        <f>TEXT(RetailStore[[#This Row],[Date]],"mmm")</f>
        <v>Feb</v>
      </c>
      <c r="D1934">
        <v>2024</v>
      </c>
      <c r="E1934" t="s">
        <v>1947</v>
      </c>
      <c r="F1934" t="s">
        <v>11</v>
      </c>
      <c r="G1934">
        <v>54</v>
      </c>
      <c r="H1934" t="s">
        <v>20</v>
      </c>
      <c r="I1934">
        <v>3</v>
      </c>
      <c r="J1934">
        <v>99</v>
      </c>
      <c r="K1934">
        <v>297</v>
      </c>
      <c r="L193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35" spans="1:12" x14ac:dyDescent="0.3">
      <c r="A1935">
        <v>1934</v>
      </c>
      <c r="B1935" s="1">
        <v>45338</v>
      </c>
      <c r="C1935" s="1" t="str">
        <f>TEXT(RetailStore[[#This Row],[Date]],"mmm")</f>
        <v>Feb</v>
      </c>
      <c r="D1935">
        <v>2024</v>
      </c>
      <c r="E1935" t="s">
        <v>1948</v>
      </c>
      <c r="F1935" t="s">
        <v>18</v>
      </c>
      <c r="G1935">
        <v>26</v>
      </c>
      <c r="H1935" t="s">
        <v>15</v>
      </c>
      <c r="I1935">
        <v>4</v>
      </c>
      <c r="J1935">
        <v>205</v>
      </c>
      <c r="K1935">
        <v>820</v>
      </c>
      <c r="L193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36" spans="1:12" x14ac:dyDescent="0.3">
      <c r="A1936">
        <v>1935</v>
      </c>
      <c r="B1936" s="1">
        <v>45455</v>
      </c>
      <c r="C1936" s="1" t="str">
        <f>TEXT(RetailStore[[#This Row],[Date]],"mmm")</f>
        <v>Jun</v>
      </c>
      <c r="D1936">
        <v>2024</v>
      </c>
      <c r="E1936" t="s">
        <v>1949</v>
      </c>
      <c r="F1936" t="s">
        <v>18</v>
      </c>
      <c r="G1936">
        <v>45</v>
      </c>
      <c r="H1936" t="s">
        <v>20</v>
      </c>
      <c r="I1936">
        <v>4</v>
      </c>
      <c r="J1936">
        <v>333</v>
      </c>
      <c r="K1936">
        <v>1332</v>
      </c>
      <c r="L193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37" spans="1:12" x14ac:dyDescent="0.3">
      <c r="A1937">
        <v>1936</v>
      </c>
      <c r="B1937" s="1">
        <v>45617</v>
      </c>
      <c r="C1937" s="1" t="str">
        <f>TEXT(RetailStore[[#This Row],[Date]],"mmm")</f>
        <v>Nov</v>
      </c>
      <c r="D1937">
        <v>2024</v>
      </c>
      <c r="E1937" t="s">
        <v>1950</v>
      </c>
      <c r="F1937" t="s">
        <v>18</v>
      </c>
      <c r="G1937">
        <v>26</v>
      </c>
      <c r="H1937" t="s">
        <v>12</v>
      </c>
      <c r="I1937">
        <v>2</v>
      </c>
      <c r="J1937">
        <v>221</v>
      </c>
      <c r="K1937">
        <v>442</v>
      </c>
      <c r="L193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38" spans="1:12" x14ac:dyDescent="0.3">
      <c r="A1938">
        <v>1937</v>
      </c>
      <c r="B1938" s="1">
        <v>45506</v>
      </c>
      <c r="C1938" s="1" t="str">
        <f>TEXT(RetailStore[[#This Row],[Date]],"mmm")</f>
        <v>Aug</v>
      </c>
      <c r="D1938">
        <v>2024</v>
      </c>
      <c r="E1938" t="s">
        <v>1951</v>
      </c>
      <c r="F1938" t="s">
        <v>18</v>
      </c>
      <c r="G1938">
        <v>52</v>
      </c>
      <c r="H1938" t="s">
        <v>12</v>
      </c>
      <c r="I1938">
        <v>4</v>
      </c>
      <c r="J1938">
        <v>297</v>
      </c>
      <c r="K1938">
        <v>1188</v>
      </c>
      <c r="L193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39" spans="1:12" x14ac:dyDescent="0.3">
      <c r="A1939">
        <v>1938</v>
      </c>
      <c r="B1939" s="1">
        <v>45566</v>
      </c>
      <c r="C1939" s="1" t="str">
        <f>TEXT(RetailStore[[#This Row],[Date]],"mmm")</f>
        <v>Oct</v>
      </c>
      <c r="D1939">
        <v>2024</v>
      </c>
      <c r="E1939" t="s">
        <v>1952</v>
      </c>
      <c r="F1939" t="s">
        <v>11</v>
      </c>
      <c r="G1939">
        <v>42</v>
      </c>
      <c r="H1939" t="s">
        <v>15</v>
      </c>
      <c r="I1939">
        <v>4</v>
      </c>
      <c r="J1939">
        <v>294</v>
      </c>
      <c r="K1939">
        <v>1176</v>
      </c>
      <c r="L193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40" spans="1:12" x14ac:dyDescent="0.3">
      <c r="A1940">
        <v>1939</v>
      </c>
      <c r="B1940" s="1">
        <v>45587</v>
      </c>
      <c r="C1940" s="1" t="str">
        <f>TEXT(RetailStore[[#This Row],[Date]],"mmm")</f>
        <v>Oct</v>
      </c>
      <c r="D1940">
        <v>2024</v>
      </c>
      <c r="E1940" t="s">
        <v>1953</v>
      </c>
      <c r="F1940" t="s">
        <v>11</v>
      </c>
      <c r="G1940">
        <v>62</v>
      </c>
      <c r="H1940" t="s">
        <v>15</v>
      </c>
      <c r="I1940">
        <v>2</v>
      </c>
      <c r="J1940">
        <v>210</v>
      </c>
      <c r="K1940">
        <v>420</v>
      </c>
      <c r="L194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41" spans="1:12" x14ac:dyDescent="0.3">
      <c r="A1941">
        <v>1940</v>
      </c>
      <c r="B1941" s="1">
        <v>45293</v>
      </c>
      <c r="C1941" s="1" t="str">
        <f>TEXT(RetailStore[[#This Row],[Date]],"mmm")</f>
        <v>Jan</v>
      </c>
      <c r="D1941">
        <v>2024</v>
      </c>
      <c r="E1941" t="s">
        <v>1954</v>
      </c>
      <c r="F1941" t="s">
        <v>11</v>
      </c>
      <c r="G1941">
        <v>19</v>
      </c>
      <c r="H1941" t="s">
        <v>20</v>
      </c>
      <c r="I1941">
        <v>4</v>
      </c>
      <c r="J1941">
        <v>93</v>
      </c>
      <c r="K1941">
        <v>372</v>
      </c>
      <c r="L194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42" spans="1:12" x14ac:dyDescent="0.3">
      <c r="A1942">
        <v>1941</v>
      </c>
      <c r="B1942" s="1">
        <v>45348</v>
      </c>
      <c r="C1942" s="1" t="str">
        <f>TEXT(RetailStore[[#This Row],[Date]],"mmm")</f>
        <v>Feb</v>
      </c>
      <c r="D1942">
        <v>2024</v>
      </c>
      <c r="E1942" t="s">
        <v>1955</v>
      </c>
      <c r="F1942" t="s">
        <v>11</v>
      </c>
      <c r="G1942">
        <v>40</v>
      </c>
      <c r="H1942" t="s">
        <v>20</v>
      </c>
      <c r="I1942">
        <v>2</v>
      </c>
      <c r="J1942">
        <v>175</v>
      </c>
      <c r="K1942">
        <v>350</v>
      </c>
      <c r="L194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43" spans="1:12" x14ac:dyDescent="0.3">
      <c r="A1943">
        <v>1942</v>
      </c>
      <c r="B1943" s="1">
        <v>45527</v>
      </c>
      <c r="C1943" s="1" t="str">
        <f>TEXT(RetailStore[[#This Row],[Date]],"mmm")</f>
        <v>Aug</v>
      </c>
      <c r="D1943">
        <v>2024</v>
      </c>
      <c r="E1943" t="s">
        <v>1956</v>
      </c>
      <c r="F1943" t="s">
        <v>11</v>
      </c>
      <c r="G1943">
        <v>53</v>
      </c>
      <c r="H1943" t="s">
        <v>20</v>
      </c>
      <c r="I1943">
        <v>2</v>
      </c>
      <c r="J1943">
        <v>132</v>
      </c>
      <c r="K1943">
        <v>264</v>
      </c>
      <c r="L194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44" spans="1:12" x14ac:dyDescent="0.3">
      <c r="A1944">
        <v>1943</v>
      </c>
      <c r="B1944" s="1">
        <v>45406</v>
      </c>
      <c r="C1944" s="1" t="str">
        <f>TEXT(RetailStore[[#This Row],[Date]],"mmm")</f>
        <v>Apr</v>
      </c>
      <c r="D1944">
        <v>2024</v>
      </c>
      <c r="E1944" t="s">
        <v>1957</v>
      </c>
      <c r="F1944" t="s">
        <v>11</v>
      </c>
      <c r="G1944">
        <v>26</v>
      </c>
      <c r="H1944" t="s">
        <v>15</v>
      </c>
      <c r="I1944">
        <v>2</v>
      </c>
      <c r="J1944">
        <v>218</v>
      </c>
      <c r="K1944">
        <v>436</v>
      </c>
      <c r="L194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45" spans="1:12" x14ac:dyDescent="0.3">
      <c r="A1945">
        <v>1944</v>
      </c>
      <c r="B1945" s="1">
        <v>45305</v>
      </c>
      <c r="C1945" s="1" t="str">
        <f>TEXT(RetailStore[[#This Row],[Date]],"mmm")</f>
        <v>Jan</v>
      </c>
      <c r="D1945">
        <v>2024</v>
      </c>
      <c r="E1945" t="s">
        <v>1958</v>
      </c>
      <c r="F1945" t="s">
        <v>18</v>
      </c>
      <c r="G1945">
        <v>41</v>
      </c>
      <c r="H1945" t="s">
        <v>15</v>
      </c>
      <c r="I1945">
        <v>1</v>
      </c>
      <c r="J1945">
        <v>364</v>
      </c>
      <c r="K1945">
        <v>364</v>
      </c>
      <c r="L194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46" spans="1:12" x14ac:dyDescent="0.3">
      <c r="A1946">
        <v>1945</v>
      </c>
      <c r="B1946" s="1">
        <v>45589</v>
      </c>
      <c r="C1946" s="1" t="str">
        <f>TEXT(RetailStore[[#This Row],[Date]],"mmm")</f>
        <v>Oct</v>
      </c>
      <c r="D1946">
        <v>2024</v>
      </c>
      <c r="E1946" t="s">
        <v>1959</v>
      </c>
      <c r="F1946" t="s">
        <v>11</v>
      </c>
      <c r="G1946">
        <v>48</v>
      </c>
      <c r="H1946" t="s">
        <v>12</v>
      </c>
      <c r="I1946">
        <v>2</v>
      </c>
      <c r="J1946">
        <v>40</v>
      </c>
      <c r="K1946">
        <v>80</v>
      </c>
      <c r="L194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47" spans="1:12" x14ac:dyDescent="0.3">
      <c r="A1947">
        <v>1946</v>
      </c>
      <c r="B1947" s="1">
        <v>45367</v>
      </c>
      <c r="C1947" s="1" t="str">
        <f>TEXT(RetailStore[[#This Row],[Date]],"mmm")</f>
        <v>Mar</v>
      </c>
      <c r="D1947">
        <v>2024</v>
      </c>
      <c r="E1947" t="s">
        <v>1960</v>
      </c>
      <c r="F1947" t="s">
        <v>18</v>
      </c>
      <c r="G1947">
        <v>27</v>
      </c>
      <c r="H1947" t="s">
        <v>15</v>
      </c>
      <c r="I1947">
        <v>2</v>
      </c>
      <c r="J1947">
        <v>64</v>
      </c>
      <c r="K1947">
        <v>128</v>
      </c>
      <c r="L194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48" spans="1:12" x14ac:dyDescent="0.3">
      <c r="A1948">
        <v>1947</v>
      </c>
      <c r="B1948" s="1">
        <v>45298</v>
      </c>
      <c r="C1948" s="1" t="str">
        <f>TEXT(RetailStore[[#This Row],[Date]],"mmm")</f>
        <v>Jan</v>
      </c>
      <c r="D1948">
        <v>2024</v>
      </c>
      <c r="E1948" t="s">
        <v>1961</v>
      </c>
      <c r="F1948" t="s">
        <v>18</v>
      </c>
      <c r="G1948">
        <v>27</v>
      </c>
      <c r="H1948" t="s">
        <v>15</v>
      </c>
      <c r="I1948">
        <v>4</v>
      </c>
      <c r="J1948">
        <v>405</v>
      </c>
      <c r="K1948">
        <v>1620</v>
      </c>
      <c r="L194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49" spans="1:12" x14ac:dyDescent="0.3">
      <c r="A1949">
        <v>1948</v>
      </c>
      <c r="B1949" s="1">
        <v>45363</v>
      </c>
      <c r="C1949" s="1" t="str">
        <f>TEXT(RetailStore[[#This Row],[Date]],"mmm")</f>
        <v>Mar</v>
      </c>
      <c r="D1949">
        <v>2024</v>
      </c>
      <c r="E1949" t="s">
        <v>1962</v>
      </c>
      <c r="F1949" t="s">
        <v>18</v>
      </c>
      <c r="G1949">
        <v>48</v>
      </c>
      <c r="H1949" t="s">
        <v>20</v>
      </c>
      <c r="I1949">
        <v>3</v>
      </c>
      <c r="J1949">
        <v>252</v>
      </c>
      <c r="K1949">
        <v>756</v>
      </c>
      <c r="L194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50" spans="1:12" x14ac:dyDescent="0.3">
      <c r="A1950">
        <v>1949</v>
      </c>
      <c r="B1950" s="1">
        <v>45622</v>
      </c>
      <c r="C1950" s="1" t="str">
        <f>TEXT(RetailStore[[#This Row],[Date]],"mmm")</f>
        <v>Nov</v>
      </c>
      <c r="D1950">
        <v>2024</v>
      </c>
      <c r="E1950" t="s">
        <v>1963</v>
      </c>
      <c r="F1950" t="s">
        <v>11</v>
      </c>
      <c r="G1950">
        <v>36</v>
      </c>
      <c r="H1950" t="s">
        <v>15</v>
      </c>
      <c r="I1950">
        <v>2</v>
      </c>
      <c r="J1950">
        <v>55</v>
      </c>
      <c r="K1950">
        <v>110</v>
      </c>
      <c r="L195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51" spans="1:12" x14ac:dyDescent="0.3">
      <c r="A1951">
        <v>1950</v>
      </c>
      <c r="B1951" s="1">
        <v>45620</v>
      </c>
      <c r="C1951" s="1" t="str">
        <f>TEXT(RetailStore[[#This Row],[Date]],"mmm")</f>
        <v>Nov</v>
      </c>
      <c r="D1951">
        <v>2024</v>
      </c>
      <c r="E1951" t="s">
        <v>1964</v>
      </c>
      <c r="F1951" t="s">
        <v>11</v>
      </c>
      <c r="G1951">
        <v>56</v>
      </c>
      <c r="H1951" t="s">
        <v>15</v>
      </c>
      <c r="I1951">
        <v>2</v>
      </c>
      <c r="J1951">
        <v>30</v>
      </c>
      <c r="K1951">
        <v>60</v>
      </c>
      <c r="L195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52" spans="1:12" x14ac:dyDescent="0.3">
      <c r="A1952">
        <v>1951</v>
      </c>
      <c r="B1952" s="1">
        <v>45494</v>
      </c>
      <c r="C1952" s="1" t="str">
        <f>TEXT(RetailStore[[#This Row],[Date]],"mmm")</f>
        <v>Jul</v>
      </c>
      <c r="D1952">
        <v>2024</v>
      </c>
      <c r="E1952" t="s">
        <v>1965</v>
      </c>
      <c r="F1952" t="s">
        <v>18</v>
      </c>
      <c r="G1952">
        <v>61</v>
      </c>
      <c r="H1952" t="s">
        <v>20</v>
      </c>
      <c r="I1952">
        <v>3</v>
      </c>
      <c r="J1952">
        <v>495</v>
      </c>
      <c r="K1952">
        <v>1485</v>
      </c>
      <c r="L195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53" spans="1:12" x14ac:dyDescent="0.3">
      <c r="A1953">
        <v>1952</v>
      </c>
      <c r="B1953" s="1">
        <v>45584</v>
      </c>
      <c r="C1953" s="1" t="str">
        <f>TEXT(RetailStore[[#This Row],[Date]],"mmm")</f>
        <v>Oct</v>
      </c>
      <c r="D1953">
        <v>2024</v>
      </c>
      <c r="E1953" t="s">
        <v>1966</v>
      </c>
      <c r="F1953" t="s">
        <v>18</v>
      </c>
      <c r="G1953">
        <v>63</v>
      </c>
      <c r="H1953" t="s">
        <v>15</v>
      </c>
      <c r="I1953">
        <v>4</v>
      </c>
      <c r="J1953">
        <v>105</v>
      </c>
      <c r="K1953">
        <v>420</v>
      </c>
      <c r="L195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54" spans="1:12" x14ac:dyDescent="0.3">
      <c r="A1954">
        <v>1953</v>
      </c>
      <c r="B1954" s="1">
        <v>45431</v>
      </c>
      <c r="C1954" s="1" t="str">
        <f>TEXT(RetailStore[[#This Row],[Date]],"mmm")</f>
        <v>May</v>
      </c>
      <c r="D1954">
        <v>2024</v>
      </c>
      <c r="E1954" t="s">
        <v>1967</v>
      </c>
      <c r="F1954" t="s">
        <v>11</v>
      </c>
      <c r="G1954">
        <v>51</v>
      </c>
      <c r="H1954" t="s">
        <v>20</v>
      </c>
      <c r="I1954">
        <v>2</v>
      </c>
      <c r="J1954">
        <v>405</v>
      </c>
      <c r="K1954">
        <v>810</v>
      </c>
      <c r="L195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55" spans="1:12" x14ac:dyDescent="0.3">
      <c r="A1955">
        <v>1954</v>
      </c>
      <c r="B1955" s="1">
        <v>45400</v>
      </c>
      <c r="C1955" s="1" t="str">
        <f>TEXT(RetailStore[[#This Row],[Date]],"mmm")</f>
        <v>Apr</v>
      </c>
      <c r="D1955">
        <v>2024</v>
      </c>
      <c r="E1955" t="s">
        <v>1968</v>
      </c>
      <c r="F1955" t="s">
        <v>18</v>
      </c>
      <c r="G1955">
        <v>57</v>
      </c>
      <c r="H1955" t="s">
        <v>15</v>
      </c>
      <c r="I1955">
        <v>2</v>
      </c>
      <c r="J1955">
        <v>225</v>
      </c>
      <c r="K1955">
        <v>450</v>
      </c>
      <c r="L195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56" spans="1:12" x14ac:dyDescent="0.3">
      <c r="A1956">
        <v>1955</v>
      </c>
      <c r="B1956" s="1">
        <v>45386</v>
      </c>
      <c r="C1956" s="1" t="str">
        <f>TEXT(RetailStore[[#This Row],[Date]],"mmm")</f>
        <v>Apr</v>
      </c>
      <c r="D1956">
        <v>2024</v>
      </c>
      <c r="E1956" t="s">
        <v>1969</v>
      </c>
      <c r="F1956" t="s">
        <v>11</v>
      </c>
      <c r="G1956">
        <v>62</v>
      </c>
      <c r="H1956" t="s">
        <v>20</v>
      </c>
      <c r="I1956">
        <v>4</v>
      </c>
      <c r="J1956">
        <v>185</v>
      </c>
      <c r="K1956">
        <v>740</v>
      </c>
      <c r="L195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57" spans="1:12" x14ac:dyDescent="0.3">
      <c r="A1957">
        <v>1956</v>
      </c>
      <c r="B1957" s="1">
        <v>45626</v>
      </c>
      <c r="C1957" s="1" t="str">
        <f>TEXT(RetailStore[[#This Row],[Date]],"mmm")</f>
        <v>Nov</v>
      </c>
      <c r="D1957">
        <v>2024</v>
      </c>
      <c r="E1957" t="s">
        <v>1970</v>
      </c>
      <c r="F1957" t="s">
        <v>18</v>
      </c>
      <c r="G1957">
        <v>42</v>
      </c>
      <c r="H1957" t="s">
        <v>15</v>
      </c>
      <c r="I1957">
        <v>1</v>
      </c>
      <c r="J1957">
        <v>436</v>
      </c>
      <c r="K1957">
        <v>436</v>
      </c>
      <c r="L195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58" spans="1:12" x14ac:dyDescent="0.3">
      <c r="A1958">
        <v>1957</v>
      </c>
      <c r="B1958" s="1">
        <v>45482</v>
      </c>
      <c r="C1958" s="1" t="str">
        <f>TEXT(RetailStore[[#This Row],[Date]],"mmm")</f>
        <v>Jul</v>
      </c>
      <c r="D1958">
        <v>2024</v>
      </c>
      <c r="E1958" t="s">
        <v>1971</v>
      </c>
      <c r="F1958" t="s">
        <v>18</v>
      </c>
      <c r="G1958">
        <v>30</v>
      </c>
      <c r="H1958" t="s">
        <v>20</v>
      </c>
      <c r="I1958">
        <v>1</v>
      </c>
      <c r="J1958">
        <v>78</v>
      </c>
      <c r="K1958">
        <v>78</v>
      </c>
      <c r="L195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59" spans="1:12" x14ac:dyDescent="0.3">
      <c r="A1959">
        <v>1958</v>
      </c>
      <c r="B1959" s="1">
        <v>45331</v>
      </c>
      <c r="C1959" s="1" t="str">
        <f>TEXT(RetailStore[[#This Row],[Date]],"mmm")</f>
        <v>Feb</v>
      </c>
      <c r="D1959">
        <v>2024</v>
      </c>
      <c r="E1959" t="s">
        <v>1972</v>
      </c>
      <c r="F1959" t="s">
        <v>18</v>
      </c>
      <c r="G1959">
        <v>56</v>
      </c>
      <c r="H1959" t="s">
        <v>20</v>
      </c>
      <c r="I1959">
        <v>1</v>
      </c>
      <c r="J1959">
        <v>147</v>
      </c>
      <c r="K1959">
        <v>147</v>
      </c>
      <c r="L195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60" spans="1:12" x14ac:dyDescent="0.3">
      <c r="A1960">
        <v>1959</v>
      </c>
      <c r="B1960" s="1">
        <v>45436</v>
      </c>
      <c r="C1960" s="1" t="str">
        <f>TEXT(RetailStore[[#This Row],[Date]],"mmm")</f>
        <v>May</v>
      </c>
      <c r="D1960">
        <v>2024</v>
      </c>
      <c r="E1960" t="s">
        <v>1973</v>
      </c>
      <c r="F1960" t="s">
        <v>11</v>
      </c>
      <c r="G1960">
        <v>52</v>
      </c>
      <c r="H1960" t="s">
        <v>15</v>
      </c>
      <c r="I1960">
        <v>1</v>
      </c>
      <c r="J1960">
        <v>133</v>
      </c>
      <c r="K1960">
        <v>133</v>
      </c>
      <c r="L196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61" spans="1:12" x14ac:dyDescent="0.3">
      <c r="A1961">
        <v>1960</v>
      </c>
      <c r="B1961" s="1">
        <v>45597</v>
      </c>
      <c r="C1961" s="1" t="str">
        <f>TEXT(RetailStore[[#This Row],[Date]],"mmm")</f>
        <v>Nov</v>
      </c>
      <c r="D1961">
        <v>2024</v>
      </c>
      <c r="E1961" t="s">
        <v>1974</v>
      </c>
      <c r="F1961" t="s">
        <v>11</v>
      </c>
      <c r="G1961">
        <v>37</v>
      </c>
      <c r="H1961" t="s">
        <v>15</v>
      </c>
      <c r="I1961">
        <v>2</v>
      </c>
      <c r="J1961">
        <v>351</v>
      </c>
      <c r="K1961">
        <v>702</v>
      </c>
      <c r="L196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62" spans="1:12" x14ac:dyDescent="0.3">
      <c r="A1962">
        <v>1961</v>
      </c>
      <c r="B1962" s="1">
        <v>45308</v>
      </c>
      <c r="C1962" s="1" t="str">
        <f>TEXT(RetailStore[[#This Row],[Date]],"mmm")</f>
        <v>Jan</v>
      </c>
      <c r="D1962">
        <v>2024</v>
      </c>
      <c r="E1962" t="s">
        <v>1975</v>
      </c>
      <c r="F1962" t="s">
        <v>11</v>
      </c>
      <c r="G1962">
        <v>35</v>
      </c>
      <c r="H1962" t="s">
        <v>15</v>
      </c>
      <c r="I1962">
        <v>1</v>
      </c>
      <c r="J1962">
        <v>313</v>
      </c>
      <c r="K1962">
        <v>313</v>
      </c>
      <c r="L196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63" spans="1:12" x14ac:dyDescent="0.3">
      <c r="A1963">
        <v>1962</v>
      </c>
      <c r="B1963" s="1">
        <v>45539</v>
      </c>
      <c r="C1963" s="1" t="str">
        <f>TEXT(RetailStore[[#This Row],[Date]],"mmm")</f>
        <v>Sep</v>
      </c>
      <c r="D1963">
        <v>2024</v>
      </c>
      <c r="E1963" t="s">
        <v>1976</v>
      </c>
      <c r="F1963" t="s">
        <v>11</v>
      </c>
      <c r="G1963">
        <v>21</v>
      </c>
      <c r="H1963" t="s">
        <v>20</v>
      </c>
      <c r="I1963">
        <v>1</v>
      </c>
      <c r="J1963">
        <v>183</v>
      </c>
      <c r="K1963">
        <v>183</v>
      </c>
      <c r="L196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64" spans="1:12" x14ac:dyDescent="0.3">
      <c r="A1964">
        <v>1963</v>
      </c>
      <c r="B1964" s="1">
        <v>45296</v>
      </c>
      <c r="C1964" s="1" t="str">
        <f>TEXT(RetailStore[[#This Row],[Date]],"mmm")</f>
        <v>Jan</v>
      </c>
      <c r="D1964">
        <v>2024</v>
      </c>
      <c r="E1964" t="s">
        <v>1977</v>
      </c>
      <c r="F1964" t="s">
        <v>18</v>
      </c>
      <c r="G1964">
        <v>36</v>
      </c>
      <c r="H1964" t="s">
        <v>20</v>
      </c>
      <c r="I1964">
        <v>2</v>
      </c>
      <c r="J1964">
        <v>186</v>
      </c>
      <c r="K1964">
        <v>372</v>
      </c>
      <c r="L196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65" spans="1:12" x14ac:dyDescent="0.3">
      <c r="A1965">
        <v>1964</v>
      </c>
      <c r="B1965" s="1">
        <v>45492</v>
      </c>
      <c r="C1965" s="1" t="str">
        <f>TEXT(RetailStore[[#This Row],[Date]],"mmm")</f>
        <v>Jul</v>
      </c>
      <c r="D1965">
        <v>2024</v>
      </c>
      <c r="E1965" t="s">
        <v>1978</v>
      </c>
      <c r="F1965" t="s">
        <v>18</v>
      </c>
      <c r="G1965">
        <v>26</v>
      </c>
      <c r="H1965" t="s">
        <v>12</v>
      </c>
      <c r="I1965">
        <v>1</v>
      </c>
      <c r="J1965">
        <v>194</v>
      </c>
      <c r="K1965">
        <v>194</v>
      </c>
      <c r="L196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66" spans="1:12" x14ac:dyDescent="0.3">
      <c r="A1966">
        <v>1965</v>
      </c>
      <c r="B1966" s="1">
        <v>45500</v>
      </c>
      <c r="C1966" s="1" t="str">
        <f>TEXT(RetailStore[[#This Row],[Date]],"mmm")</f>
        <v>Jul</v>
      </c>
      <c r="D1966">
        <v>2024</v>
      </c>
      <c r="E1966" t="s">
        <v>1979</v>
      </c>
      <c r="F1966" t="s">
        <v>11</v>
      </c>
      <c r="G1966">
        <v>50</v>
      </c>
      <c r="H1966" t="s">
        <v>15</v>
      </c>
      <c r="I1966">
        <v>1</v>
      </c>
      <c r="J1966">
        <v>325</v>
      </c>
      <c r="K1966">
        <v>325</v>
      </c>
      <c r="L196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67" spans="1:12" x14ac:dyDescent="0.3">
      <c r="A1967">
        <v>1966</v>
      </c>
      <c r="B1967" s="1">
        <v>45487</v>
      </c>
      <c r="C1967" s="1" t="str">
        <f>TEXT(RetailStore[[#This Row],[Date]],"mmm")</f>
        <v>Jul</v>
      </c>
      <c r="D1967">
        <v>2024</v>
      </c>
      <c r="E1967" t="s">
        <v>1980</v>
      </c>
      <c r="F1967" t="s">
        <v>18</v>
      </c>
      <c r="G1967">
        <v>55</v>
      </c>
      <c r="H1967" t="s">
        <v>15</v>
      </c>
      <c r="I1967">
        <v>3</v>
      </c>
      <c r="J1967">
        <v>107</v>
      </c>
      <c r="K1967">
        <v>321</v>
      </c>
      <c r="L196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68" spans="1:12" x14ac:dyDescent="0.3">
      <c r="A1968">
        <v>1967</v>
      </c>
      <c r="B1968" s="1">
        <v>45369</v>
      </c>
      <c r="C1968" s="1" t="str">
        <f>TEXT(RetailStore[[#This Row],[Date]],"mmm")</f>
        <v>Mar</v>
      </c>
      <c r="D1968">
        <v>2024</v>
      </c>
      <c r="E1968" t="s">
        <v>1981</v>
      </c>
      <c r="F1968" t="s">
        <v>18</v>
      </c>
      <c r="G1968">
        <v>23</v>
      </c>
      <c r="H1968" t="s">
        <v>12</v>
      </c>
      <c r="I1968">
        <v>1</v>
      </c>
      <c r="J1968">
        <v>392</v>
      </c>
      <c r="K1968">
        <v>392</v>
      </c>
      <c r="L196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69" spans="1:12" x14ac:dyDescent="0.3">
      <c r="A1969">
        <v>1968</v>
      </c>
      <c r="B1969" s="1">
        <v>45410</v>
      </c>
      <c r="C1969" s="1" t="str">
        <f>TEXT(RetailStore[[#This Row],[Date]],"mmm")</f>
        <v>Apr</v>
      </c>
      <c r="D1969">
        <v>2024</v>
      </c>
      <c r="E1969" t="s">
        <v>1982</v>
      </c>
      <c r="F1969" t="s">
        <v>11</v>
      </c>
      <c r="G1969">
        <v>61</v>
      </c>
      <c r="H1969" t="s">
        <v>12</v>
      </c>
      <c r="I1969">
        <v>2</v>
      </c>
      <c r="J1969">
        <v>418</v>
      </c>
      <c r="K1969">
        <v>836</v>
      </c>
      <c r="L196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70" spans="1:12" x14ac:dyDescent="0.3">
      <c r="A1970">
        <v>1969</v>
      </c>
      <c r="B1970" s="1">
        <v>45374</v>
      </c>
      <c r="C1970" s="1" t="str">
        <f>TEXT(RetailStore[[#This Row],[Date]],"mmm")</f>
        <v>Mar</v>
      </c>
      <c r="D1970">
        <v>2024</v>
      </c>
      <c r="E1970" t="s">
        <v>1983</v>
      </c>
      <c r="F1970" t="s">
        <v>18</v>
      </c>
      <c r="G1970">
        <v>46</v>
      </c>
      <c r="H1970" t="s">
        <v>15</v>
      </c>
      <c r="I1970">
        <v>3</v>
      </c>
      <c r="J1970">
        <v>173</v>
      </c>
      <c r="K1970">
        <v>519</v>
      </c>
      <c r="L197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71" spans="1:12" x14ac:dyDescent="0.3">
      <c r="A1971">
        <v>1970</v>
      </c>
      <c r="B1971" s="1">
        <v>45476</v>
      </c>
      <c r="C1971" s="1" t="str">
        <f>TEXT(RetailStore[[#This Row],[Date]],"mmm")</f>
        <v>Jul</v>
      </c>
      <c r="D1971">
        <v>2024</v>
      </c>
      <c r="E1971" t="s">
        <v>1984</v>
      </c>
      <c r="F1971" t="s">
        <v>18</v>
      </c>
      <c r="G1971">
        <v>20</v>
      </c>
      <c r="H1971" t="s">
        <v>12</v>
      </c>
      <c r="I1971">
        <v>4</v>
      </c>
      <c r="J1971">
        <v>147</v>
      </c>
      <c r="K1971">
        <v>588</v>
      </c>
      <c r="L197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72" spans="1:12" x14ac:dyDescent="0.3">
      <c r="A1972">
        <v>1971</v>
      </c>
      <c r="B1972" s="1">
        <v>45398</v>
      </c>
      <c r="C1972" s="1" t="str">
        <f>TEXT(RetailStore[[#This Row],[Date]],"mmm")</f>
        <v>Apr</v>
      </c>
      <c r="D1972">
        <v>2024</v>
      </c>
      <c r="E1972" t="s">
        <v>1985</v>
      </c>
      <c r="F1972" t="s">
        <v>11</v>
      </c>
      <c r="G1972">
        <v>27</v>
      </c>
      <c r="H1972" t="s">
        <v>12</v>
      </c>
      <c r="I1972">
        <v>4</v>
      </c>
      <c r="J1972">
        <v>74</v>
      </c>
      <c r="K1972">
        <v>296</v>
      </c>
      <c r="L197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73" spans="1:12" x14ac:dyDescent="0.3">
      <c r="A1973">
        <v>1972</v>
      </c>
      <c r="B1973" s="1">
        <v>45299</v>
      </c>
      <c r="C1973" s="1" t="str">
        <f>TEXT(RetailStore[[#This Row],[Date]],"mmm")</f>
        <v>Jan</v>
      </c>
      <c r="D1973">
        <v>2024</v>
      </c>
      <c r="E1973" t="s">
        <v>1986</v>
      </c>
      <c r="F1973" t="s">
        <v>11</v>
      </c>
      <c r="G1973">
        <v>37</v>
      </c>
      <c r="H1973" t="s">
        <v>12</v>
      </c>
      <c r="I1973">
        <v>1</v>
      </c>
      <c r="J1973">
        <v>280</v>
      </c>
      <c r="K1973">
        <v>280</v>
      </c>
      <c r="L197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74" spans="1:12" x14ac:dyDescent="0.3">
      <c r="A1974">
        <v>1973</v>
      </c>
      <c r="B1974" s="1">
        <v>45340</v>
      </c>
      <c r="C1974" s="1" t="str">
        <f>TEXT(RetailStore[[#This Row],[Date]],"mmm")</f>
        <v>Feb</v>
      </c>
      <c r="D1974">
        <v>2024</v>
      </c>
      <c r="E1974" t="s">
        <v>1987</v>
      </c>
      <c r="F1974" t="s">
        <v>18</v>
      </c>
      <c r="G1974">
        <v>38</v>
      </c>
      <c r="H1974" t="s">
        <v>15</v>
      </c>
      <c r="I1974">
        <v>3</v>
      </c>
      <c r="J1974">
        <v>107</v>
      </c>
      <c r="K1974">
        <v>321</v>
      </c>
      <c r="L197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75" spans="1:12" x14ac:dyDescent="0.3">
      <c r="A1975">
        <v>1974</v>
      </c>
      <c r="B1975" s="1">
        <v>45326</v>
      </c>
      <c r="C1975" s="1" t="str">
        <f>TEXT(RetailStore[[#This Row],[Date]],"mmm")</f>
        <v>Feb</v>
      </c>
      <c r="D1975">
        <v>2024</v>
      </c>
      <c r="E1975" t="s">
        <v>1988</v>
      </c>
      <c r="F1975" t="s">
        <v>18</v>
      </c>
      <c r="G1975">
        <v>54</v>
      </c>
      <c r="H1975" t="s">
        <v>20</v>
      </c>
      <c r="I1975">
        <v>3</v>
      </c>
      <c r="J1975">
        <v>70</v>
      </c>
      <c r="K1975">
        <v>210</v>
      </c>
      <c r="L197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76" spans="1:12" x14ac:dyDescent="0.3">
      <c r="A1976">
        <v>1975</v>
      </c>
      <c r="B1976" s="1">
        <v>45328</v>
      </c>
      <c r="C1976" s="1" t="str">
        <f>TEXT(RetailStore[[#This Row],[Date]],"mmm")</f>
        <v>Feb</v>
      </c>
      <c r="D1976">
        <v>2024</v>
      </c>
      <c r="E1976" t="s">
        <v>1989</v>
      </c>
      <c r="F1976" t="s">
        <v>11</v>
      </c>
      <c r="G1976">
        <v>63</v>
      </c>
      <c r="H1976" t="s">
        <v>20</v>
      </c>
      <c r="I1976">
        <v>3</v>
      </c>
      <c r="J1976">
        <v>267</v>
      </c>
      <c r="K1976">
        <v>801</v>
      </c>
      <c r="L197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77" spans="1:12" x14ac:dyDescent="0.3">
      <c r="A1977">
        <v>1976</v>
      </c>
      <c r="B1977" s="1">
        <v>45423</v>
      </c>
      <c r="C1977" s="1" t="str">
        <f>TEXT(RetailStore[[#This Row],[Date]],"mmm")</f>
        <v>May</v>
      </c>
      <c r="D1977">
        <v>2024</v>
      </c>
      <c r="E1977" t="s">
        <v>1990</v>
      </c>
      <c r="F1977" t="s">
        <v>18</v>
      </c>
      <c r="G1977">
        <v>59</v>
      </c>
      <c r="H1977" t="s">
        <v>15</v>
      </c>
      <c r="I1977">
        <v>1</v>
      </c>
      <c r="J1977">
        <v>316</v>
      </c>
      <c r="K1977">
        <v>316</v>
      </c>
      <c r="L197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78" spans="1:12" x14ac:dyDescent="0.3">
      <c r="A1978">
        <v>1977</v>
      </c>
      <c r="B1978" s="1">
        <v>45541</v>
      </c>
      <c r="C1978" s="1" t="str">
        <f>TEXT(RetailStore[[#This Row],[Date]],"mmm")</f>
        <v>Sep</v>
      </c>
      <c r="D1978">
        <v>2024</v>
      </c>
      <c r="E1978" t="s">
        <v>1991</v>
      </c>
      <c r="F1978" t="s">
        <v>11</v>
      </c>
      <c r="G1978">
        <v>41</v>
      </c>
      <c r="H1978" t="s">
        <v>20</v>
      </c>
      <c r="I1978">
        <v>4</v>
      </c>
      <c r="J1978">
        <v>234</v>
      </c>
      <c r="K1978">
        <v>936</v>
      </c>
      <c r="L197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79" spans="1:12" x14ac:dyDescent="0.3">
      <c r="A1979">
        <v>1978</v>
      </c>
      <c r="B1979" s="1">
        <v>45609</v>
      </c>
      <c r="C1979" s="1" t="str">
        <f>TEXT(RetailStore[[#This Row],[Date]],"mmm")</f>
        <v>Nov</v>
      </c>
      <c r="D1979">
        <v>2024</v>
      </c>
      <c r="E1979" t="s">
        <v>1992</v>
      </c>
      <c r="F1979" t="s">
        <v>11</v>
      </c>
      <c r="G1979">
        <v>46</v>
      </c>
      <c r="H1979" t="s">
        <v>20</v>
      </c>
      <c r="I1979">
        <v>3</v>
      </c>
      <c r="J1979">
        <v>216</v>
      </c>
      <c r="K1979">
        <v>648</v>
      </c>
      <c r="L197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0" spans="1:12" x14ac:dyDescent="0.3">
      <c r="A1980">
        <v>1979</v>
      </c>
      <c r="B1980" s="1">
        <v>45334</v>
      </c>
      <c r="C1980" s="1" t="str">
        <f>TEXT(RetailStore[[#This Row],[Date]],"mmm")</f>
        <v>Feb</v>
      </c>
      <c r="D1980">
        <v>2024</v>
      </c>
      <c r="E1980" t="s">
        <v>1993</v>
      </c>
      <c r="F1980" t="s">
        <v>18</v>
      </c>
      <c r="G1980">
        <v>50</v>
      </c>
      <c r="H1980" t="s">
        <v>20</v>
      </c>
      <c r="I1980">
        <v>3</v>
      </c>
      <c r="J1980">
        <v>474</v>
      </c>
      <c r="K1980">
        <v>1422</v>
      </c>
      <c r="L198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1" spans="1:12" x14ac:dyDescent="0.3">
      <c r="A1981">
        <v>1980</v>
      </c>
      <c r="B1981" s="1">
        <v>45641</v>
      </c>
      <c r="C1981" s="1" t="str">
        <f>TEXT(RetailStore[[#This Row],[Date]],"mmm")</f>
        <v>Dec</v>
      </c>
      <c r="D1981">
        <v>2024</v>
      </c>
      <c r="E1981" t="s">
        <v>1994</v>
      </c>
      <c r="F1981" t="s">
        <v>11</v>
      </c>
      <c r="G1981">
        <v>57</v>
      </c>
      <c r="H1981" t="s">
        <v>12</v>
      </c>
      <c r="I1981">
        <v>1</v>
      </c>
      <c r="J1981">
        <v>404</v>
      </c>
      <c r="K1981">
        <v>404</v>
      </c>
      <c r="L198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2" spans="1:12" x14ac:dyDescent="0.3">
      <c r="A1982">
        <v>1981</v>
      </c>
      <c r="B1982" s="1">
        <v>45417</v>
      </c>
      <c r="C1982" s="1" t="str">
        <f>TEXT(RetailStore[[#This Row],[Date]],"mmm")</f>
        <v>May</v>
      </c>
      <c r="D1982">
        <v>2024</v>
      </c>
      <c r="E1982" t="s">
        <v>1995</v>
      </c>
      <c r="F1982" t="s">
        <v>11</v>
      </c>
      <c r="G1982">
        <v>27</v>
      </c>
      <c r="H1982" t="s">
        <v>15</v>
      </c>
      <c r="I1982">
        <v>3</v>
      </c>
      <c r="J1982">
        <v>217</v>
      </c>
      <c r="K1982">
        <v>651</v>
      </c>
      <c r="L198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83" spans="1:12" x14ac:dyDescent="0.3">
      <c r="A1983">
        <v>1982</v>
      </c>
      <c r="B1983" s="1">
        <v>45373</v>
      </c>
      <c r="C1983" s="1" t="str">
        <f>TEXT(RetailStore[[#This Row],[Date]],"mmm")</f>
        <v>Mar</v>
      </c>
      <c r="D1983">
        <v>2024</v>
      </c>
      <c r="E1983" t="s">
        <v>1996</v>
      </c>
      <c r="F1983" t="s">
        <v>18</v>
      </c>
      <c r="G1983">
        <v>22</v>
      </c>
      <c r="H1983" t="s">
        <v>15</v>
      </c>
      <c r="I1983">
        <v>4</v>
      </c>
      <c r="J1983">
        <v>472</v>
      </c>
      <c r="K1983">
        <v>1888</v>
      </c>
      <c r="L198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84" spans="1:12" x14ac:dyDescent="0.3">
      <c r="A1984">
        <v>1983</v>
      </c>
      <c r="B1984" s="1">
        <v>45528</v>
      </c>
      <c r="C1984" s="1" t="str">
        <f>TEXT(RetailStore[[#This Row],[Date]],"mmm")</f>
        <v>Aug</v>
      </c>
      <c r="D1984">
        <v>2024</v>
      </c>
      <c r="E1984" t="s">
        <v>1997</v>
      </c>
      <c r="F1984" t="s">
        <v>11</v>
      </c>
      <c r="G1984">
        <v>40</v>
      </c>
      <c r="H1984" t="s">
        <v>20</v>
      </c>
      <c r="I1984">
        <v>4</v>
      </c>
      <c r="J1984">
        <v>353</v>
      </c>
      <c r="K1984">
        <v>1412</v>
      </c>
      <c r="L198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85" spans="1:12" x14ac:dyDescent="0.3">
      <c r="A1985">
        <v>1984</v>
      </c>
      <c r="B1985" s="1">
        <v>45565</v>
      </c>
      <c r="C1985" s="1" t="str">
        <f>TEXT(RetailStore[[#This Row],[Date]],"mmm")</f>
        <v>Sep</v>
      </c>
      <c r="D1985">
        <v>2024</v>
      </c>
      <c r="E1985" t="s">
        <v>1998</v>
      </c>
      <c r="F1985" t="s">
        <v>18</v>
      </c>
      <c r="G1985">
        <v>24</v>
      </c>
      <c r="H1985" t="s">
        <v>15</v>
      </c>
      <c r="I1985">
        <v>2</v>
      </c>
      <c r="J1985">
        <v>399</v>
      </c>
      <c r="K1985">
        <v>798</v>
      </c>
      <c r="L198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86" spans="1:12" x14ac:dyDescent="0.3">
      <c r="A1986">
        <v>1985</v>
      </c>
      <c r="B1986" s="1">
        <v>45347</v>
      </c>
      <c r="C1986" s="1" t="str">
        <f>TEXT(RetailStore[[#This Row],[Date]],"mmm")</f>
        <v>Feb</v>
      </c>
      <c r="D1986">
        <v>2024</v>
      </c>
      <c r="E1986" t="s">
        <v>1999</v>
      </c>
      <c r="F1986" t="s">
        <v>18</v>
      </c>
      <c r="G1986">
        <v>45</v>
      </c>
      <c r="H1986" t="s">
        <v>15</v>
      </c>
      <c r="I1986">
        <v>4</v>
      </c>
      <c r="J1986">
        <v>193</v>
      </c>
      <c r="K1986">
        <v>772</v>
      </c>
      <c r="L198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7" spans="1:12" x14ac:dyDescent="0.3">
      <c r="A1987">
        <v>1986</v>
      </c>
      <c r="B1987" s="1">
        <v>45325</v>
      </c>
      <c r="C1987" s="1" t="str">
        <f>TEXT(RetailStore[[#This Row],[Date]],"mmm")</f>
        <v>Feb</v>
      </c>
      <c r="D1987">
        <v>2024</v>
      </c>
      <c r="E1987" t="s">
        <v>2000</v>
      </c>
      <c r="F1987" t="s">
        <v>18</v>
      </c>
      <c r="G1987">
        <v>39</v>
      </c>
      <c r="H1987" t="s">
        <v>12</v>
      </c>
      <c r="I1987">
        <v>4</v>
      </c>
      <c r="J1987">
        <v>133</v>
      </c>
      <c r="K1987">
        <v>532</v>
      </c>
      <c r="L198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8" spans="1:12" x14ac:dyDescent="0.3">
      <c r="A1988">
        <v>1987</v>
      </c>
      <c r="B1988" s="1">
        <v>45651</v>
      </c>
      <c r="C1988" s="1" t="str">
        <f>TEXT(RetailStore[[#This Row],[Date]],"mmm")</f>
        <v>Dec</v>
      </c>
      <c r="D1988">
        <v>2024</v>
      </c>
      <c r="E1988" t="s">
        <v>2001</v>
      </c>
      <c r="F1988" t="s">
        <v>18</v>
      </c>
      <c r="G1988">
        <v>25</v>
      </c>
      <c r="H1988" t="s">
        <v>20</v>
      </c>
      <c r="I1988">
        <v>4</v>
      </c>
      <c r="J1988">
        <v>44</v>
      </c>
      <c r="K1988">
        <v>176</v>
      </c>
      <c r="L198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89" spans="1:12" x14ac:dyDescent="0.3">
      <c r="A1989">
        <v>1988</v>
      </c>
      <c r="B1989" s="1">
        <v>45571</v>
      </c>
      <c r="C1989" s="1" t="str">
        <f>TEXT(RetailStore[[#This Row],[Date]],"mmm")</f>
        <v>Oct</v>
      </c>
      <c r="D1989">
        <v>2024</v>
      </c>
      <c r="E1989" t="s">
        <v>2002</v>
      </c>
      <c r="F1989" t="s">
        <v>11</v>
      </c>
      <c r="G1989">
        <v>48</v>
      </c>
      <c r="H1989" t="s">
        <v>15</v>
      </c>
      <c r="I1989">
        <v>2</v>
      </c>
      <c r="J1989">
        <v>188</v>
      </c>
      <c r="K1989">
        <v>376</v>
      </c>
      <c r="L198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90" spans="1:12" x14ac:dyDescent="0.3">
      <c r="A1990">
        <v>1989</v>
      </c>
      <c r="B1990" s="1">
        <v>45582</v>
      </c>
      <c r="C1990" s="1" t="str">
        <f>TEXT(RetailStore[[#This Row],[Date]],"mmm")</f>
        <v>Oct</v>
      </c>
      <c r="D1990">
        <v>2024</v>
      </c>
      <c r="E1990" t="s">
        <v>2003</v>
      </c>
      <c r="F1990" t="s">
        <v>11</v>
      </c>
      <c r="G1990">
        <v>56</v>
      </c>
      <c r="H1990" t="s">
        <v>20</v>
      </c>
      <c r="I1990">
        <v>1</v>
      </c>
      <c r="J1990">
        <v>438</v>
      </c>
      <c r="K1990">
        <v>438</v>
      </c>
      <c r="L199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91" spans="1:12" x14ac:dyDescent="0.3">
      <c r="A1991">
        <v>1990</v>
      </c>
      <c r="B1991" s="1">
        <v>45477</v>
      </c>
      <c r="C1991" s="1" t="str">
        <f>TEXT(RetailStore[[#This Row],[Date]],"mmm")</f>
        <v>Jul</v>
      </c>
      <c r="D1991">
        <v>2024</v>
      </c>
      <c r="E1991" t="s">
        <v>2004</v>
      </c>
      <c r="F1991" t="s">
        <v>18</v>
      </c>
      <c r="G1991">
        <v>48</v>
      </c>
      <c r="H1991" t="s">
        <v>15</v>
      </c>
      <c r="I1991">
        <v>1</v>
      </c>
      <c r="J1991">
        <v>133</v>
      </c>
      <c r="K1991">
        <v>133</v>
      </c>
      <c r="L199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92" spans="1:12" x14ac:dyDescent="0.3">
      <c r="A1992">
        <v>1991</v>
      </c>
      <c r="B1992" s="1">
        <v>45303</v>
      </c>
      <c r="C1992" s="1" t="str">
        <f>TEXT(RetailStore[[#This Row],[Date]],"mmm")</f>
        <v>Jan</v>
      </c>
      <c r="D1992">
        <v>2024</v>
      </c>
      <c r="E1992" t="s">
        <v>2005</v>
      </c>
      <c r="F1992" t="s">
        <v>18</v>
      </c>
      <c r="G1992">
        <v>35</v>
      </c>
      <c r="H1992" t="s">
        <v>20</v>
      </c>
      <c r="I1992">
        <v>2</v>
      </c>
      <c r="J1992">
        <v>67</v>
      </c>
      <c r="K1992">
        <v>134</v>
      </c>
      <c r="L1992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93" spans="1:12" x14ac:dyDescent="0.3">
      <c r="A1993">
        <v>1992</v>
      </c>
      <c r="B1993" s="1">
        <v>45364</v>
      </c>
      <c r="C1993" s="1" t="str">
        <f>TEXT(RetailStore[[#This Row],[Date]],"mmm")</f>
        <v>Mar</v>
      </c>
      <c r="D1993">
        <v>2024</v>
      </c>
      <c r="E1993" t="s">
        <v>2006</v>
      </c>
      <c r="F1993" t="s">
        <v>11</v>
      </c>
      <c r="G1993">
        <v>35</v>
      </c>
      <c r="H1993" t="s">
        <v>20</v>
      </c>
      <c r="I1993">
        <v>1</v>
      </c>
      <c r="J1993">
        <v>177</v>
      </c>
      <c r="K1993">
        <v>177</v>
      </c>
      <c r="L1993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94" spans="1:12" x14ac:dyDescent="0.3">
      <c r="A1994">
        <v>1993</v>
      </c>
      <c r="B1994" s="1">
        <v>45656</v>
      </c>
      <c r="C1994" s="1" t="str">
        <f>TEXT(RetailStore[[#This Row],[Date]],"mmm")</f>
        <v>Dec</v>
      </c>
      <c r="D1994">
        <v>2024</v>
      </c>
      <c r="E1994" t="s">
        <v>2007</v>
      </c>
      <c r="F1994" t="s">
        <v>18</v>
      </c>
      <c r="G1994">
        <v>44</v>
      </c>
      <c r="H1994" t="s">
        <v>12</v>
      </c>
      <c r="I1994">
        <v>2</v>
      </c>
      <c r="J1994">
        <v>367</v>
      </c>
      <c r="K1994">
        <v>734</v>
      </c>
      <c r="L1994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95" spans="1:12" x14ac:dyDescent="0.3">
      <c r="A1995">
        <v>1994</v>
      </c>
      <c r="B1995" s="1">
        <v>45424</v>
      </c>
      <c r="C1995" s="1" t="str">
        <f>TEXT(RetailStore[[#This Row],[Date]],"mmm")</f>
        <v>May</v>
      </c>
      <c r="D1995">
        <v>2024</v>
      </c>
      <c r="E1995" t="s">
        <v>2008</v>
      </c>
      <c r="F1995" t="s">
        <v>11</v>
      </c>
      <c r="G1995">
        <v>21</v>
      </c>
      <c r="H1995" t="s">
        <v>15</v>
      </c>
      <c r="I1995">
        <v>4</v>
      </c>
      <c r="J1995">
        <v>200</v>
      </c>
      <c r="K1995">
        <v>800</v>
      </c>
      <c r="L1995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96" spans="1:12" x14ac:dyDescent="0.3">
      <c r="A1996">
        <v>1995</v>
      </c>
      <c r="B1996" s="1">
        <v>45444</v>
      </c>
      <c r="C1996" s="1" t="str">
        <f>TEXT(RetailStore[[#This Row],[Date]],"mmm")</f>
        <v>Jun</v>
      </c>
      <c r="D1996">
        <v>2024</v>
      </c>
      <c r="E1996" t="s">
        <v>2009</v>
      </c>
      <c r="F1996" t="s">
        <v>11</v>
      </c>
      <c r="G1996">
        <v>30</v>
      </c>
      <c r="H1996" t="s">
        <v>20</v>
      </c>
      <c r="I1996">
        <v>4</v>
      </c>
      <c r="J1996">
        <v>271</v>
      </c>
      <c r="K1996">
        <v>1084</v>
      </c>
      <c r="L1996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1997" spans="1:12" x14ac:dyDescent="0.3">
      <c r="A1997">
        <v>1996</v>
      </c>
      <c r="B1997" s="1">
        <v>45535</v>
      </c>
      <c r="C1997" s="1" t="str">
        <f>TEXT(RetailStore[[#This Row],[Date]],"mmm")</f>
        <v>Aug</v>
      </c>
      <c r="D1997">
        <v>2024</v>
      </c>
      <c r="E1997" t="s">
        <v>2010</v>
      </c>
      <c r="F1997" t="s">
        <v>11</v>
      </c>
      <c r="G1997">
        <v>62</v>
      </c>
      <c r="H1997" t="s">
        <v>20</v>
      </c>
      <c r="I1997">
        <v>3</v>
      </c>
      <c r="J1997">
        <v>492</v>
      </c>
      <c r="K1997">
        <v>1476</v>
      </c>
      <c r="L1997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Monsoon</v>
      </c>
    </row>
    <row r="1998" spans="1:12" x14ac:dyDescent="0.3">
      <c r="A1998">
        <v>1997</v>
      </c>
      <c r="B1998" s="1">
        <v>45646</v>
      </c>
      <c r="C1998" s="1" t="str">
        <f>TEXT(RetailStore[[#This Row],[Date]],"mmm")</f>
        <v>Dec</v>
      </c>
      <c r="D1998">
        <v>2024</v>
      </c>
      <c r="E1998" t="s">
        <v>2011</v>
      </c>
      <c r="F1998" t="s">
        <v>18</v>
      </c>
      <c r="G1998">
        <v>18</v>
      </c>
      <c r="H1998" t="s">
        <v>12</v>
      </c>
      <c r="I1998">
        <v>2</v>
      </c>
      <c r="J1998">
        <v>64</v>
      </c>
      <c r="K1998">
        <v>128</v>
      </c>
      <c r="L1998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1999" spans="1:12" x14ac:dyDescent="0.3">
      <c r="A1999">
        <v>1998</v>
      </c>
      <c r="B1999" s="1">
        <v>45633</v>
      </c>
      <c r="C1999" s="1" t="str">
        <f>TEXT(RetailStore[[#This Row],[Date]],"mmm")</f>
        <v>Dec</v>
      </c>
      <c r="D1999">
        <v>2024</v>
      </c>
      <c r="E1999" t="s">
        <v>2012</v>
      </c>
      <c r="F1999" t="s">
        <v>11</v>
      </c>
      <c r="G1999">
        <v>38</v>
      </c>
      <c r="H1999" t="s">
        <v>12</v>
      </c>
      <c r="I1999">
        <v>3</v>
      </c>
      <c r="J1999">
        <v>32</v>
      </c>
      <c r="K1999">
        <v>96</v>
      </c>
      <c r="L1999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  <row r="2000" spans="1:12" x14ac:dyDescent="0.3">
      <c r="A2000">
        <v>1999</v>
      </c>
      <c r="B2000" s="1">
        <v>45369</v>
      </c>
      <c r="C2000" s="1" t="str">
        <f>TEXT(RetailStore[[#This Row],[Date]],"mmm")</f>
        <v>Mar</v>
      </c>
      <c r="D2000">
        <v>2024</v>
      </c>
      <c r="E2000" t="s">
        <v>2013</v>
      </c>
      <c r="F2000" t="s">
        <v>18</v>
      </c>
      <c r="G2000">
        <v>27</v>
      </c>
      <c r="H2000" t="s">
        <v>20</v>
      </c>
      <c r="I2000">
        <v>3</v>
      </c>
      <c r="J2000">
        <v>83</v>
      </c>
      <c r="K2000">
        <v>249</v>
      </c>
      <c r="L2000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Summer/Holidays</v>
      </c>
    </row>
    <row r="2001" spans="1:12" x14ac:dyDescent="0.3">
      <c r="A2001">
        <v>2000</v>
      </c>
      <c r="B2001" s="1">
        <v>45637</v>
      </c>
      <c r="C2001" s="1" t="str">
        <f>TEXT(RetailStore[[#This Row],[Date]],"mmm")</f>
        <v>Dec</v>
      </c>
      <c r="D2001">
        <v>2024</v>
      </c>
      <c r="E2001" t="s">
        <v>2014</v>
      </c>
      <c r="F2001" t="s">
        <v>18</v>
      </c>
      <c r="G2001">
        <v>34</v>
      </c>
      <c r="H2001" t="s">
        <v>12</v>
      </c>
      <c r="I2001">
        <v>1</v>
      </c>
      <c r="J2001">
        <v>255</v>
      </c>
      <c r="K2001">
        <v>255</v>
      </c>
      <c r="L2001" t="str">
        <f>_xlfn.IFS((MONTH(RetailStore[[#This Row],[Date]])&gt;=11),"Festival/Winter",(MONTH(RetailStore[[#This Row],[Date]])&lt;=2),"Festival/Winter",(AND(MONTH(RetailStore[[#This Row],[Date]])&gt;=3,MONTH(RetailStore[[#This Row],[Date]])&lt;=6)),"Summer/Holidays",(AND(MONTH(RetailStore[[#This Row],[Date]])&gt;=7,MONTH(RetailStore[[#This Row],[Date]])&lt;=10)),"Monsoon")</f>
        <v>Festival/Winter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9DA0-A07E-4B08-B364-268B8669674D}">
  <dimension ref="A3:L31"/>
  <sheetViews>
    <sheetView tabSelected="1" workbookViewId="0">
      <selection activeCell="J22" sqref="J22"/>
    </sheetView>
  </sheetViews>
  <sheetFormatPr defaultRowHeight="14.4" x14ac:dyDescent="0.3"/>
  <cols>
    <col min="1" max="1" width="14.77734375" bestFit="1" customWidth="1"/>
    <col min="2" max="2" width="19.21875" bestFit="1" customWidth="1"/>
    <col min="3" max="3" width="14.88671875" bestFit="1" customWidth="1"/>
    <col min="4" max="4" width="10.77734375" bestFit="1" customWidth="1"/>
    <col min="5" max="6" width="19.21875" bestFit="1" customWidth="1"/>
    <col min="7" max="7" width="14.88671875" bestFit="1" customWidth="1"/>
    <col min="8" max="8" width="15.44140625" bestFit="1" customWidth="1"/>
    <col min="9" max="9" width="9.88671875" bestFit="1" customWidth="1"/>
    <col min="10" max="10" width="10.77734375" bestFit="1" customWidth="1"/>
    <col min="11" max="11" width="19.33203125" bestFit="1" customWidth="1"/>
    <col min="12" max="12" width="9.88671875" bestFit="1" customWidth="1"/>
    <col min="13" max="13" width="24.109375" bestFit="1" customWidth="1"/>
    <col min="14" max="14" width="7.6640625" bestFit="1" customWidth="1"/>
    <col min="15" max="15" width="7" bestFit="1" customWidth="1"/>
    <col min="16" max="16" width="10.33203125" bestFit="1" customWidth="1"/>
    <col min="17" max="17" width="7.6640625" bestFit="1" customWidth="1"/>
    <col min="18" max="18" width="7" bestFit="1" customWidth="1"/>
    <col min="19" max="19" width="10.33203125" bestFit="1" customWidth="1"/>
    <col min="20" max="20" width="7.6640625" bestFit="1" customWidth="1"/>
    <col min="21" max="21" width="6" bestFit="1" customWidth="1"/>
    <col min="22" max="22" width="10.33203125" bestFit="1" customWidth="1"/>
    <col min="23" max="23" width="10.77734375" bestFit="1" customWidth="1"/>
    <col min="24" max="54" width="6" bestFit="1" customWidth="1"/>
    <col min="55" max="55" width="10.77734375" bestFit="1" customWidth="1"/>
    <col min="56" max="682" width="10.33203125" bestFit="1" customWidth="1"/>
    <col min="683" max="683" width="10.77734375" bestFit="1" customWidth="1"/>
  </cols>
  <sheetData>
    <row r="3" spans="1:11" x14ac:dyDescent="0.3">
      <c r="A3" s="2" t="s">
        <v>2039</v>
      </c>
      <c r="B3" t="s">
        <v>2028</v>
      </c>
      <c r="G3" s="2" t="s">
        <v>5</v>
      </c>
      <c r="H3" t="s">
        <v>2041</v>
      </c>
      <c r="J3" s="2" t="s">
        <v>5</v>
      </c>
      <c r="K3" t="s">
        <v>2050</v>
      </c>
    </row>
    <row r="4" spans="1:11" x14ac:dyDescent="0.3">
      <c r="A4" s="3">
        <v>2023</v>
      </c>
      <c r="B4" s="9">
        <v>679763</v>
      </c>
      <c r="G4" s="3" t="s">
        <v>18</v>
      </c>
      <c r="H4" s="9">
        <v>677301</v>
      </c>
      <c r="J4" s="3" t="s">
        <v>2029</v>
      </c>
      <c r="K4" s="9">
        <v>436</v>
      </c>
    </row>
    <row r="5" spans="1:11" x14ac:dyDescent="0.3">
      <c r="A5" s="4" t="s">
        <v>2016</v>
      </c>
      <c r="B5" s="9">
        <v>46733</v>
      </c>
      <c r="C5" s="6"/>
      <c r="G5" s="3" t="s">
        <v>11</v>
      </c>
      <c r="H5" s="9">
        <v>651571</v>
      </c>
      <c r="J5" s="3" t="s">
        <v>2030</v>
      </c>
      <c r="K5" s="9">
        <v>429</v>
      </c>
    </row>
    <row r="6" spans="1:11" x14ac:dyDescent="0.3">
      <c r="A6" s="4" t="s">
        <v>2017</v>
      </c>
      <c r="B6" s="9">
        <v>58645</v>
      </c>
      <c r="C6" s="6">
        <f>(GETPIVOTDATA("Total Amount",$A$3,"Year",2023,"Months (Date)",2)-GETPIVOTDATA("Total Amount",$A$3,"Year",2023,"Months (Date)",1))/GETPIVOTDATA("Total Amount",$A$3,"Year",2023,"Months (Date)",1)</f>
        <v>0.2548948280658207</v>
      </c>
      <c r="G6" s="3" t="s">
        <v>2015</v>
      </c>
      <c r="H6" s="9">
        <v>1328872</v>
      </c>
      <c r="J6" s="3" t="s">
        <v>2031</v>
      </c>
      <c r="K6" s="9">
        <v>420</v>
      </c>
    </row>
    <row r="7" spans="1:11" x14ac:dyDescent="0.3">
      <c r="A7" s="4" t="s">
        <v>2018</v>
      </c>
      <c r="B7" s="9">
        <v>64571</v>
      </c>
      <c r="C7" s="6">
        <f>(GETPIVOTDATA("Total Amount",$A$3,"Year",2023,"Months (Date)",3)-GETPIVOTDATA("Total Amount",$A$3,"Year",2023,"Months (Date)",2))/GETPIVOTDATA("Total Amount",$A$3,"Year",2023,"Months (Date)",2)</f>
        <v>0.10104868275215279</v>
      </c>
      <c r="J7" s="3" t="s">
        <v>2032</v>
      </c>
      <c r="K7" s="9">
        <v>405</v>
      </c>
    </row>
    <row r="8" spans="1:11" x14ac:dyDescent="0.3">
      <c r="A8" s="4" t="s">
        <v>2019</v>
      </c>
      <c r="B8" s="9">
        <v>46060</v>
      </c>
      <c r="C8" s="6">
        <f>(GETPIVOTDATA("Total Amount",$A$3,"Year",2023,"Months (Date)",4)-GETPIVOTDATA("Total Amount",$A$3,"Year",2023,"Months (Date)",3))/GETPIVOTDATA("Total Amount",$A$3,"Year",2023,"Months (Date)",3)</f>
        <v>-0.28667668148239922</v>
      </c>
      <c r="J8" s="3" t="s">
        <v>2033</v>
      </c>
      <c r="K8" s="9">
        <v>310</v>
      </c>
    </row>
    <row r="9" spans="1:11" x14ac:dyDescent="0.3">
      <c r="A9" s="4" t="s">
        <v>2020</v>
      </c>
      <c r="B9" s="9">
        <v>54412</v>
      </c>
      <c r="C9" s="6">
        <f>(GETPIVOTDATA("Total Amount",$A$3,"Year",2023,"Months (Date)",5)-GETPIVOTDATA("Total Amount",$A$3,"Year",2023,"Months (Date)",4))/GETPIVOTDATA("Total Amount",$A$3,"Year",2023,"Months (Date)",4)</f>
        <v>0.18132870169344334</v>
      </c>
      <c r="J9" s="3" t="s">
        <v>2015</v>
      </c>
      <c r="K9" s="9">
        <v>2000</v>
      </c>
    </row>
    <row r="10" spans="1:11" x14ac:dyDescent="0.3">
      <c r="A10" s="4" t="s">
        <v>2021</v>
      </c>
      <c r="B10" s="9">
        <v>61505</v>
      </c>
      <c r="C10" s="6">
        <f>(GETPIVOTDATA("Total Amount",$A$3,"Year",2023,"Months (Date)",6)-GETPIVOTDATA("Total Amount",$A$3,"Year",2023,"Months (Date)",5))/GETPIVOTDATA("Total Amount",$A$3,"Year",2023,"Months (Date)",5)</f>
        <v>0.13035727413070647</v>
      </c>
      <c r="E10" s="2" t="s">
        <v>4</v>
      </c>
      <c r="F10" t="s">
        <v>2040</v>
      </c>
    </row>
    <row r="11" spans="1:11" x14ac:dyDescent="0.3">
      <c r="A11" s="4" t="s">
        <v>2022</v>
      </c>
      <c r="B11" s="9">
        <v>57108</v>
      </c>
      <c r="C11" s="6">
        <f>(GETPIVOTDATA("Total Amount",$A$3,"Year",2023,"Months (Date)",7)-GETPIVOTDATA("Total Amount",$A$3,"Year",2023,"Months (Date)",6))/GETPIVOTDATA("Total Amount",$A$3,"Year",2023,"Months (Date)",6)</f>
        <v>-7.1490122754247626E-2</v>
      </c>
    </row>
    <row r="12" spans="1:11" x14ac:dyDescent="0.3">
      <c r="A12" s="4" t="s">
        <v>2023</v>
      </c>
      <c r="B12" s="9">
        <v>69373</v>
      </c>
      <c r="C12" s="6">
        <f>(GETPIVOTDATA("Total Amount",$A$3,"Year",2023,"Months (Date)",8)-GETPIVOTDATA("Total Amount",$A$3,"Year",2023,"Months (Date)",7))/GETPIVOTDATA("Total Amount",$A$3,"Year",2023,"Months (Date)",7)</f>
        <v>0.21476850879036213</v>
      </c>
      <c r="E12" s="2" t="s">
        <v>2028</v>
      </c>
      <c r="F12" s="2" t="s">
        <v>2051</v>
      </c>
    </row>
    <row r="13" spans="1:11" x14ac:dyDescent="0.3">
      <c r="A13" s="4" t="s">
        <v>2024</v>
      </c>
      <c r="B13" s="9">
        <v>56691</v>
      </c>
      <c r="C13" s="6">
        <f>(GETPIVOTDATA("Total Amount",$A$3,"Year",2023,"Months (Date)",9)-GETPIVOTDATA("Total Amount",$A$3,"Year",2023,"Months (Date)",8))/GETPIVOTDATA("Total Amount",$A$3,"Year",2023,"Months (Date)",8)</f>
        <v>-0.18280887376933388</v>
      </c>
      <c r="E13" s="2" t="s">
        <v>2038</v>
      </c>
      <c r="F13" t="s">
        <v>2029</v>
      </c>
      <c r="G13" t="s">
        <v>2030</v>
      </c>
      <c r="H13" t="s">
        <v>2031</v>
      </c>
      <c r="I13" t="s">
        <v>2032</v>
      </c>
      <c r="J13" t="s">
        <v>2033</v>
      </c>
      <c r="K13" t="s">
        <v>2015</v>
      </c>
    </row>
    <row r="14" spans="1:11" x14ac:dyDescent="0.3">
      <c r="A14" s="4" t="s">
        <v>2025</v>
      </c>
      <c r="B14" s="9">
        <v>68666</v>
      </c>
      <c r="C14" s="6">
        <f>(GETPIVOTDATA("Total Amount",$A$3,"Year",2023,"Months (Date)",10)-GETPIVOTDATA("Total Amount",$A$3,"Year",2023,"Months (Date)",9))/GETPIVOTDATA("Total Amount",$A$3,"Year",2023,"Months (Date)",9)</f>
        <v>0.21123282355223932</v>
      </c>
      <c r="E14" s="3" t="s">
        <v>15</v>
      </c>
      <c r="F14" s="9">
        <v>101145</v>
      </c>
      <c r="G14" s="9">
        <v>90039</v>
      </c>
      <c r="H14" s="9">
        <v>85628</v>
      </c>
      <c r="I14" s="9">
        <v>88378</v>
      </c>
      <c r="J14" s="9">
        <v>78965</v>
      </c>
      <c r="K14" s="9">
        <v>444155</v>
      </c>
    </row>
    <row r="15" spans="1:11" x14ac:dyDescent="0.3">
      <c r="A15" s="4" t="s">
        <v>2026</v>
      </c>
      <c r="B15" s="9">
        <v>42334</v>
      </c>
      <c r="C15" s="6">
        <f>(GETPIVOTDATA("Total Amount",$A$3,"Year",2023,"Months (Date)",11)-GETPIVOTDATA("Total Amount",$A$3,"Year",2023,"Months (Date)",10))/GETPIVOTDATA("Total Amount",$A$3,"Year",2023,"Months (Date)",10)</f>
        <v>-0.38347945125680832</v>
      </c>
      <c r="E15" s="3" t="s">
        <v>20</v>
      </c>
      <c r="F15" s="9">
        <v>90344</v>
      </c>
      <c r="G15" s="9">
        <v>102654</v>
      </c>
      <c r="H15" s="9">
        <v>103642</v>
      </c>
      <c r="I15" s="9">
        <v>91206</v>
      </c>
      <c r="J15" s="9">
        <v>59822</v>
      </c>
      <c r="K15" s="9">
        <v>447668</v>
      </c>
    </row>
    <row r="16" spans="1:11" x14ac:dyDescent="0.3">
      <c r="A16" s="4" t="s">
        <v>2027</v>
      </c>
      <c r="B16" s="9">
        <v>53665</v>
      </c>
      <c r="C16" s="6">
        <f>(GETPIVOTDATA("Total Amount",$A$3,"Year",2023,"Months (Date)",12)-GETPIVOTDATA("Total Amount",$A$3,"Year",2023,"Months (Date)",11))/GETPIVOTDATA("Total Amount",$A$3,"Year",2023,"Months (Date)",11)</f>
        <v>0.26765720224878348</v>
      </c>
      <c r="E16" s="3" t="s">
        <v>12</v>
      </c>
      <c r="F16" s="9">
        <v>88127</v>
      </c>
      <c r="G16" s="9">
        <v>105716</v>
      </c>
      <c r="H16" s="9">
        <v>84397</v>
      </c>
      <c r="I16" s="9">
        <v>82914</v>
      </c>
      <c r="J16" s="9">
        <v>75895</v>
      </c>
      <c r="K16" s="9">
        <v>437049</v>
      </c>
    </row>
    <row r="17" spans="1:12" x14ac:dyDescent="0.3">
      <c r="A17" s="3">
        <v>2024</v>
      </c>
      <c r="B17" s="9">
        <v>649109</v>
      </c>
      <c r="C17" s="6"/>
      <c r="E17" s="3" t="s">
        <v>2015</v>
      </c>
      <c r="F17" s="9">
        <v>279616</v>
      </c>
      <c r="G17" s="9">
        <v>298409</v>
      </c>
      <c r="H17" s="9">
        <v>273667</v>
      </c>
      <c r="I17" s="9">
        <v>262498</v>
      </c>
      <c r="J17" s="9">
        <v>214682</v>
      </c>
      <c r="K17" s="9">
        <v>1328872</v>
      </c>
    </row>
    <row r="18" spans="1:12" x14ac:dyDescent="0.3">
      <c r="A18" s="4" t="s">
        <v>2016</v>
      </c>
      <c r="B18" s="9">
        <v>48768</v>
      </c>
      <c r="C18" s="6"/>
    </row>
    <row r="19" spans="1:12" x14ac:dyDescent="0.3">
      <c r="A19" s="4" t="s">
        <v>2017</v>
      </c>
      <c r="B19" s="9">
        <v>41223</v>
      </c>
    </row>
    <row r="20" spans="1:12" x14ac:dyDescent="0.3">
      <c r="A20" s="4" t="s">
        <v>2018</v>
      </c>
      <c r="B20" s="9">
        <v>71213</v>
      </c>
      <c r="E20" s="2" t="s">
        <v>2038</v>
      </c>
      <c r="F20" t="s">
        <v>2028</v>
      </c>
      <c r="G20" t="s">
        <v>2042</v>
      </c>
    </row>
    <row r="21" spans="1:12" x14ac:dyDescent="0.3">
      <c r="A21" s="4" t="s">
        <v>2019</v>
      </c>
      <c r="B21" s="9">
        <v>51284</v>
      </c>
      <c r="E21" s="3" t="s">
        <v>12</v>
      </c>
      <c r="F21" s="9">
        <v>437049</v>
      </c>
      <c r="G21" s="9">
        <v>1693</v>
      </c>
      <c r="K21" s="2" t="s">
        <v>3</v>
      </c>
      <c r="L21" t="s">
        <v>2041</v>
      </c>
    </row>
    <row r="22" spans="1:12" x14ac:dyDescent="0.3">
      <c r="A22" s="4" t="s">
        <v>2020</v>
      </c>
      <c r="B22" s="9">
        <v>47166</v>
      </c>
      <c r="E22" s="3" t="s">
        <v>15</v>
      </c>
      <c r="F22" s="9">
        <v>444155</v>
      </c>
      <c r="G22" s="9">
        <v>1645</v>
      </c>
      <c r="K22" t="s">
        <v>453</v>
      </c>
      <c r="L22" s="9">
        <v>1972</v>
      </c>
    </row>
    <row r="23" spans="1:12" x14ac:dyDescent="0.3">
      <c r="A23" s="4" t="s">
        <v>2021</v>
      </c>
      <c r="B23" s="9">
        <v>47701</v>
      </c>
      <c r="E23" s="3" t="s">
        <v>20</v>
      </c>
      <c r="F23" s="9">
        <v>447668</v>
      </c>
      <c r="G23" s="9">
        <v>1674</v>
      </c>
      <c r="K23" t="s">
        <v>120</v>
      </c>
      <c r="L23" s="9">
        <v>1980</v>
      </c>
    </row>
    <row r="24" spans="1:12" x14ac:dyDescent="0.3">
      <c r="A24" s="4" t="s">
        <v>2022</v>
      </c>
      <c r="B24" s="9">
        <v>53749</v>
      </c>
      <c r="E24" s="3" t="s">
        <v>2015</v>
      </c>
      <c r="F24" s="9">
        <v>1328872</v>
      </c>
      <c r="G24" s="9">
        <v>5012</v>
      </c>
      <c r="K24" t="s">
        <v>271</v>
      </c>
      <c r="L24" s="9">
        <v>1984</v>
      </c>
    </row>
    <row r="25" spans="1:12" x14ac:dyDescent="0.3">
      <c r="A25" s="4" t="s">
        <v>2023</v>
      </c>
      <c r="B25" s="9">
        <v>64317</v>
      </c>
      <c r="E25" s="3" t="s">
        <v>2037</v>
      </c>
      <c r="K25" t="s">
        <v>521</v>
      </c>
      <c r="L25" s="9">
        <v>1984</v>
      </c>
    </row>
    <row r="26" spans="1:12" x14ac:dyDescent="0.3">
      <c r="A26" s="4" t="s">
        <v>2024</v>
      </c>
      <c r="B26" s="9">
        <v>39923</v>
      </c>
      <c r="K26" t="s">
        <v>1204</v>
      </c>
      <c r="L26" s="9">
        <v>1988</v>
      </c>
    </row>
    <row r="27" spans="1:12" x14ac:dyDescent="0.3">
      <c r="A27" s="4" t="s">
        <v>2025</v>
      </c>
      <c r="B27" s="9">
        <v>62064</v>
      </c>
      <c r="E27" s="2" t="s">
        <v>2038</v>
      </c>
      <c r="F27" t="s">
        <v>2041</v>
      </c>
      <c r="H27" s="2" t="s">
        <v>2044</v>
      </c>
      <c r="I27" t="s">
        <v>2041</v>
      </c>
      <c r="K27" t="s">
        <v>789</v>
      </c>
      <c r="L27" s="9">
        <v>1992</v>
      </c>
    </row>
    <row r="28" spans="1:12" x14ac:dyDescent="0.3">
      <c r="A28" s="4" t="s">
        <v>2026</v>
      </c>
      <c r="B28" s="9">
        <v>59234</v>
      </c>
      <c r="E28" s="3" t="s">
        <v>20</v>
      </c>
      <c r="F28" s="5">
        <v>0.33687819443859152</v>
      </c>
      <c r="H28" s="3" t="s">
        <v>2045</v>
      </c>
      <c r="I28" s="9">
        <v>471891</v>
      </c>
      <c r="K28" t="s">
        <v>897</v>
      </c>
      <c r="L28" s="9">
        <v>1996</v>
      </c>
    </row>
    <row r="29" spans="1:12" x14ac:dyDescent="0.3">
      <c r="A29" s="4" t="s">
        <v>2027</v>
      </c>
      <c r="B29" s="9">
        <v>62467</v>
      </c>
      <c r="E29" s="3" t="s">
        <v>15</v>
      </c>
      <c r="F29" s="5">
        <v>0.33423459896814744</v>
      </c>
      <c r="H29" s="3" t="s">
        <v>2046</v>
      </c>
      <c r="I29" s="9">
        <v>413069</v>
      </c>
      <c r="K29" t="s">
        <v>1750</v>
      </c>
      <c r="L29" s="9">
        <v>1996</v>
      </c>
    </row>
    <row r="30" spans="1:12" x14ac:dyDescent="0.3">
      <c r="A30" s="3" t="s">
        <v>2015</v>
      </c>
      <c r="B30" s="9">
        <v>1328872</v>
      </c>
      <c r="E30" s="3" t="s">
        <v>12</v>
      </c>
      <c r="F30" s="5">
        <v>0.32888720659326104</v>
      </c>
      <c r="H30" s="3" t="s">
        <v>2047</v>
      </c>
      <c r="I30" s="9">
        <v>443912</v>
      </c>
      <c r="K30" t="s">
        <v>1299</v>
      </c>
      <c r="L30" s="9">
        <v>2000</v>
      </c>
    </row>
    <row r="31" spans="1:12" x14ac:dyDescent="0.3">
      <c r="E31" s="3" t="s">
        <v>2015</v>
      </c>
      <c r="F31" s="5">
        <v>1</v>
      </c>
      <c r="H31" s="3" t="s">
        <v>2015</v>
      </c>
      <c r="I31" s="9">
        <v>1328872</v>
      </c>
      <c r="K31" t="s">
        <v>1003</v>
      </c>
      <c r="L31" s="9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19C49C-DB7C-43D5-B128-F297C3B3F6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RetailStore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AYISHA A</dc:creator>
  <cp:lastModifiedBy>AYISHA A</cp:lastModifiedBy>
  <dcterms:created xsi:type="dcterms:W3CDTF">2025-11-04T07:30:46Z</dcterms:created>
  <dcterms:modified xsi:type="dcterms:W3CDTF">2025-11-09T08:15:42Z</dcterms:modified>
</cp:coreProperties>
</file>